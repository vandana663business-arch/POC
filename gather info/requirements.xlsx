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nda\Desktop\POC\gather info\"/>
    </mc:Choice>
  </mc:AlternateContent>
  <xr:revisionPtr revIDLastSave="0" documentId="13_ncr:1_{5545A058-56DD-4900-A228-9FE44E4CA288}" xr6:coauthVersionLast="47" xr6:coauthVersionMax="47" xr10:uidLastSave="{00000000-0000-0000-0000-000000000000}"/>
  <bookViews>
    <workbookView xWindow="-108" yWindow="-108" windowWidth="23256" windowHeight="13896" tabRatio="937" activeTab="4" xr2:uid="{00000000-000D-0000-FFFF-FFFF00000000}"/>
  </bookViews>
  <sheets>
    <sheet name="POC-proposal" sheetId="1" r:id="rId1"/>
    <sheet name="Data Collection" sheetId="6" r:id="rId2"/>
    <sheet name="POC-work-discussion" sheetId="2" r:id="rId3"/>
    <sheet name="overview LOB" sheetId="3" r:id="rId4"/>
    <sheet name="calculate volume" sheetId="7" r:id="rId5"/>
    <sheet name="Sheet3" sheetId="4" r:id="rId6"/>
    <sheet name="interval receipts" sheetId="8" r:id="rId7"/>
    <sheet name="Sheet4" sheetId="10" r:id="rId8"/>
    <sheet name="overall intake SLA Trend" sheetId="9" r:id="rId9"/>
  </sheets>
  <definedNames>
    <definedName name="_xlnm._FilterDatabase" localSheetId="6" hidden="1">'interval receipts'!$AJ$3:$AJ$1233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8" l="1"/>
  <c r="I12" i="7"/>
  <c r="J19" i="9"/>
  <c r="J20" i="9"/>
  <c r="J21" i="9"/>
  <c r="J22" i="9"/>
  <c r="J23" i="9"/>
  <c r="J24" i="9"/>
  <c r="J25" i="9"/>
  <c r="J26" i="9"/>
  <c r="J27" i="9"/>
  <c r="J18" i="9"/>
  <c r="G17" i="8"/>
  <c r="G5" i="8"/>
  <c r="G6" i="8"/>
  <c r="G7" i="8"/>
  <c r="G8" i="8"/>
  <c r="G9" i="8"/>
  <c r="G10" i="8"/>
  <c r="G11" i="8"/>
  <c r="G12" i="8"/>
  <c r="G13" i="8"/>
  <c r="G4" i="8"/>
  <c r="G15" i="8"/>
  <c r="G16"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C5" i="8"/>
  <c r="B5" i="8" s="1"/>
  <c r="C6" i="8"/>
  <c r="B6" i="8" s="1"/>
  <c r="C7" i="8"/>
  <c r="B7" i="8" s="1"/>
  <c r="C8" i="8"/>
  <c r="B8" i="8" s="1"/>
  <c r="C9" i="8"/>
  <c r="B9" i="8" s="1"/>
  <c r="C10" i="8"/>
  <c r="B10" i="8" s="1"/>
  <c r="C11" i="8"/>
  <c r="B11" i="8" s="1"/>
  <c r="C12" i="8"/>
  <c r="B12" i="8" s="1"/>
  <c r="C13" i="8"/>
  <c r="B13" i="8" s="1"/>
  <c r="C14" i="8"/>
  <c r="B14" i="8" s="1"/>
  <c r="C15" i="8"/>
  <c r="B15" i="8" s="1"/>
  <c r="C16" i="8"/>
  <c r="B16" i="8" s="1"/>
  <c r="C17" i="8"/>
  <c r="B17" i="8" s="1"/>
  <c r="C18" i="8"/>
  <c r="B18" i="8" s="1"/>
  <c r="C19" i="8"/>
  <c r="B19" i="8" s="1"/>
  <c r="C20" i="8"/>
  <c r="B20" i="8" s="1"/>
  <c r="C21" i="8"/>
  <c r="B21" i="8" s="1"/>
  <c r="C22" i="8"/>
  <c r="B22" i="8" s="1"/>
  <c r="C23" i="8"/>
  <c r="B23" i="8" s="1"/>
  <c r="C24" i="8"/>
  <c r="B24" i="8" s="1"/>
  <c r="C25" i="8"/>
  <c r="B25" i="8" s="1"/>
  <c r="C26" i="8"/>
  <c r="B26" i="8" s="1"/>
  <c r="C27" i="8"/>
  <c r="B27" i="8" s="1"/>
  <c r="C28" i="8"/>
  <c r="B28" i="8" s="1"/>
  <c r="C29" i="8"/>
  <c r="B29" i="8" s="1"/>
  <c r="C30" i="8"/>
  <c r="B30" i="8" s="1"/>
  <c r="C31" i="8"/>
  <c r="B31" i="8" s="1"/>
  <c r="C32" i="8"/>
  <c r="B32" i="8" s="1"/>
  <c r="C33" i="8"/>
  <c r="B33" i="8" s="1"/>
  <c r="C34" i="8"/>
  <c r="B34" i="8" s="1"/>
  <c r="C35" i="8"/>
  <c r="B35" i="8" s="1"/>
  <c r="C36" i="8"/>
  <c r="B36" i="8" s="1"/>
  <c r="C37" i="8"/>
  <c r="B37" i="8" s="1"/>
  <c r="C38" i="8"/>
  <c r="B38" i="8" s="1"/>
  <c r="C39" i="8"/>
  <c r="B39" i="8" s="1"/>
  <c r="C40" i="8"/>
  <c r="B40" i="8" s="1"/>
  <c r="C41" i="8"/>
  <c r="B41" i="8" s="1"/>
  <c r="C42" i="8"/>
  <c r="B42" i="8" s="1"/>
  <c r="C43" i="8"/>
  <c r="B43" i="8" s="1"/>
  <c r="C44" i="8"/>
  <c r="B44" i="8" s="1"/>
  <c r="C45" i="8"/>
  <c r="B45" i="8" s="1"/>
  <c r="C46" i="8"/>
  <c r="B46" i="8" s="1"/>
  <c r="C47" i="8"/>
  <c r="B47" i="8" s="1"/>
  <c r="C48" i="8"/>
  <c r="B48" i="8" s="1"/>
  <c r="C49" i="8"/>
  <c r="B49" i="8" s="1"/>
  <c r="C50" i="8"/>
  <c r="B50" i="8" s="1"/>
  <c r="C51" i="8"/>
  <c r="B51" i="8" s="1"/>
  <c r="C52" i="8"/>
  <c r="B52" i="8" s="1"/>
  <c r="C53" i="8"/>
  <c r="B53" i="8" s="1"/>
  <c r="C54" i="8"/>
  <c r="B54" i="8" s="1"/>
  <c r="C55" i="8"/>
  <c r="B55" i="8" s="1"/>
  <c r="C56" i="8"/>
  <c r="B56" i="8" s="1"/>
  <c r="C57" i="8"/>
  <c r="B57" i="8" s="1"/>
  <c r="C58" i="8"/>
  <c r="B58" i="8" s="1"/>
  <c r="C59" i="8"/>
  <c r="B59" i="8" s="1"/>
  <c r="C60" i="8"/>
  <c r="B60" i="8" s="1"/>
  <c r="C61" i="8"/>
  <c r="B61" i="8" s="1"/>
  <c r="C62" i="8"/>
  <c r="B62" i="8" s="1"/>
  <c r="C63" i="8"/>
  <c r="B63" i="8" s="1"/>
  <c r="C64" i="8"/>
  <c r="B64" i="8" s="1"/>
  <c r="C65" i="8"/>
  <c r="B65" i="8" s="1"/>
  <c r="C66" i="8"/>
  <c r="B66" i="8" s="1"/>
  <c r="C67" i="8"/>
  <c r="B67" i="8" s="1"/>
  <c r="C68" i="8"/>
  <c r="B68" i="8" s="1"/>
  <c r="C69" i="8"/>
  <c r="B69" i="8" s="1"/>
  <c r="C70" i="8"/>
  <c r="B70" i="8" s="1"/>
  <c r="C71" i="8"/>
  <c r="B71" i="8" s="1"/>
  <c r="C72" i="8"/>
  <c r="B72" i="8" s="1"/>
  <c r="C73" i="8"/>
  <c r="B73" i="8" s="1"/>
  <c r="C74" i="8"/>
  <c r="B74" i="8" s="1"/>
  <c r="C75" i="8"/>
  <c r="B75" i="8" s="1"/>
  <c r="C76" i="8"/>
  <c r="B76" i="8" s="1"/>
  <c r="C77" i="8"/>
  <c r="B77" i="8" s="1"/>
  <c r="C78" i="8"/>
  <c r="B78" i="8" s="1"/>
  <c r="C79" i="8"/>
  <c r="B79" i="8" s="1"/>
  <c r="C80" i="8"/>
  <c r="B80" i="8" s="1"/>
  <c r="C81" i="8"/>
  <c r="B81" i="8" s="1"/>
  <c r="C82" i="8"/>
  <c r="B82" i="8" s="1"/>
  <c r="C83" i="8"/>
  <c r="B83" i="8" s="1"/>
  <c r="C84" i="8"/>
  <c r="C85" i="8"/>
  <c r="B85" i="8" s="1"/>
  <c r="C86" i="8"/>
  <c r="B86" i="8" s="1"/>
  <c r="C87" i="8"/>
  <c r="B87" i="8" s="1"/>
  <c r="C88" i="8"/>
  <c r="B88" i="8" s="1"/>
  <c r="C89" i="8"/>
  <c r="B89" i="8" s="1"/>
  <c r="C90" i="8"/>
  <c r="B90" i="8" s="1"/>
  <c r="C91" i="8"/>
  <c r="B91" i="8" s="1"/>
  <c r="C92" i="8"/>
  <c r="B92" i="8" s="1"/>
  <c r="C93" i="8"/>
  <c r="B93" i="8" s="1"/>
  <c r="C94" i="8"/>
  <c r="B94" i="8" s="1"/>
  <c r="C95" i="8"/>
  <c r="B95" i="8" s="1"/>
  <c r="C96" i="8"/>
  <c r="B96" i="8" s="1"/>
  <c r="C97" i="8"/>
  <c r="B97" i="8" s="1"/>
  <c r="C98" i="8"/>
  <c r="B98" i="8" s="1"/>
  <c r="C99" i="8"/>
  <c r="B99" i="8" s="1"/>
  <c r="C100" i="8"/>
  <c r="B100" i="8" s="1"/>
  <c r="C101" i="8"/>
  <c r="B101" i="8" s="1"/>
  <c r="C102" i="8"/>
  <c r="B102" i="8" s="1"/>
  <c r="C103" i="8"/>
  <c r="B103" i="8" s="1"/>
  <c r="C104" i="8"/>
  <c r="B104" i="8" s="1"/>
  <c r="C105" i="8"/>
  <c r="B105" i="8" s="1"/>
  <c r="C106" i="8"/>
  <c r="B106" i="8" s="1"/>
  <c r="C107" i="8"/>
  <c r="B107" i="8" s="1"/>
  <c r="C108" i="8"/>
  <c r="B108" i="8" s="1"/>
  <c r="C109" i="8"/>
  <c r="B109" i="8" s="1"/>
  <c r="C110" i="8"/>
  <c r="B110" i="8" s="1"/>
  <c r="C111" i="8"/>
  <c r="B111" i="8" s="1"/>
  <c r="C112" i="8"/>
  <c r="B112" i="8" s="1"/>
  <c r="C113" i="8"/>
  <c r="B113" i="8" s="1"/>
  <c r="C114" i="8"/>
  <c r="B114" i="8" s="1"/>
  <c r="C115" i="8"/>
  <c r="B115" i="8" s="1"/>
  <c r="C116" i="8"/>
  <c r="B116" i="8" s="1"/>
  <c r="C117" i="8"/>
  <c r="B117" i="8" s="1"/>
  <c r="C118" i="8"/>
  <c r="B118" i="8" s="1"/>
  <c r="C119" i="8"/>
  <c r="B119" i="8" s="1"/>
  <c r="C120" i="8"/>
  <c r="B120" i="8" s="1"/>
  <c r="C121" i="8"/>
  <c r="B121" i="8" s="1"/>
  <c r="C122" i="8"/>
  <c r="B122" i="8" s="1"/>
  <c r="C123" i="8"/>
  <c r="B123" i="8" s="1"/>
  <c r="C124" i="8"/>
  <c r="B124" i="8" s="1"/>
  <c r="C125" i="8"/>
  <c r="B125" i="8" s="1"/>
  <c r="C126" i="8"/>
  <c r="B126" i="8" s="1"/>
  <c r="C127" i="8"/>
  <c r="B127" i="8" s="1"/>
  <c r="C128" i="8"/>
  <c r="B128" i="8" s="1"/>
  <c r="C129" i="8"/>
  <c r="B129" i="8" s="1"/>
  <c r="C130" i="8"/>
  <c r="B130" i="8" s="1"/>
  <c r="C131" i="8"/>
  <c r="B131" i="8" s="1"/>
  <c r="C132" i="8"/>
  <c r="B132" i="8" s="1"/>
  <c r="C133" i="8"/>
  <c r="B133" i="8" s="1"/>
  <c r="C134" i="8"/>
  <c r="B134" i="8" s="1"/>
  <c r="C135" i="8"/>
  <c r="B135" i="8" s="1"/>
  <c r="C136" i="8"/>
  <c r="B136" i="8" s="1"/>
  <c r="C137" i="8"/>
  <c r="B137" i="8" s="1"/>
  <c r="C138" i="8"/>
  <c r="B138" i="8" s="1"/>
  <c r="C139" i="8"/>
  <c r="B139" i="8" s="1"/>
  <c r="C140" i="8"/>
  <c r="B140" i="8" s="1"/>
  <c r="C141" i="8"/>
  <c r="B141" i="8" s="1"/>
  <c r="C142" i="8"/>
  <c r="B142" i="8" s="1"/>
  <c r="C143" i="8"/>
  <c r="B143" i="8" s="1"/>
  <c r="C144" i="8"/>
  <c r="B144" i="8" s="1"/>
  <c r="C145" i="8"/>
  <c r="B145" i="8" s="1"/>
  <c r="C146" i="8"/>
  <c r="B146" i="8" s="1"/>
  <c r="C147" i="8"/>
  <c r="B147" i="8" s="1"/>
  <c r="C148" i="8"/>
  <c r="B148" i="8" s="1"/>
  <c r="C149" i="8"/>
  <c r="B149" i="8" s="1"/>
  <c r="C150" i="8"/>
  <c r="B150" i="8" s="1"/>
  <c r="C151" i="8"/>
  <c r="B151" i="8" s="1"/>
  <c r="C152" i="8"/>
  <c r="B152" i="8" s="1"/>
  <c r="C153" i="8"/>
  <c r="B153" i="8" s="1"/>
  <c r="C154" i="8"/>
  <c r="B154" i="8" s="1"/>
  <c r="C155" i="8"/>
  <c r="B155" i="8" s="1"/>
  <c r="C156" i="8"/>
  <c r="B156" i="8" s="1"/>
  <c r="C157" i="8"/>
  <c r="B157" i="8" s="1"/>
  <c r="C158" i="8"/>
  <c r="B158" i="8" s="1"/>
  <c r="C159" i="8"/>
  <c r="B159" i="8" s="1"/>
  <c r="C160" i="8"/>
  <c r="B160" i="8" s="1"/>
  <c r="C161" i="8"/>
  <c r="B161" i="8" s="1"/>
  <c r="C162" i="8"/>
  <c r="B162" i="8" s="1"/>
  <c r="C163" i="8"/>
  <c r="B163" i="8" s="1"/>
  <c r="C164" i="8"/>
  <c r="B164" i="8" s="1"/>
  <c r="C165" i="8"/>
  <c r="B165" i="8" s="1"/>
  <c r="C166" i="8"/>
  <c r="B166" i="8" s="1"/>
  <c r="C167" i="8"/>
  <c r="B167" i="8" s="1"/>
  <c r="C168" i="8"/>
  <c r="B168" i="8" s="1"/>
  <c r="C169" i="8"/>
  <c r="B169" i="8" s="1"/>
  <c r="C170" i="8"/>
  <c r="B170" i="8" s="1"/>
  <c r="C171" i="8"/>
  <c r="B171" i="8" s="1"/>
  <c r="C172" i="8"/>
  <c r="B172" i="8" s="1"/>
  <c r="C173" i="8"/>
  <c r="B173" i="8" s="1"/>
  <c r="C174" i="8"/>
  <c r="B174" i="8" s="1"/>
  <c r="C175" i="8"/>
  <c r="B175" i="8" s="1"/>
  <c r="C176" i="8"/>
  <c r="B176" i="8" s="1"/>
  <c r="C177" i="8"/>
  <c r="B177" i="8" s="1"/>
  <c r="C178" i="8"/>
  <c r="B178" i="8" s="1"/>
  <c r="C179" i="8"/>
  <c r="B179" i="8" s="1"/>
  <c r="C180" i="8"/>
  <c r="B180" i="8" s="1"/>
  <c r="C181" i="8"/>
  <c r="B181" i="8" s="1"/>
  <c r="C182" i="8"/>
  <c r="B182" i="8" s="1"/>
  <c r="C183" i="8"/>
  <c r="B183" i="8" s="1"/>
  <c r="C184" i="8"/>
  <c r="B184" i="8" s="1"/>
  <c r="C185" i="8"/>
  <c r="B185" i="8" s="1"/>
  <c r="C186" i="8"/>
  <c r="B186" i="8" s="1"/>
  <c r="C187" i="8"/>
  <c r="B187" i="8" s="1"/>
  <c r="C188" i="8"/>
  <c r="B188" i="8" s="1"/>
  <c r="C189" i="8"/>
  <c r="B189" i="8" s="1"/>
  <c r="C190" i="8"/>
  <c r="B190" i="8" s="1"/>
  <c r="C191" i="8"/>
  <c r="B191" i="8" s="1"/>
  <c r="C192" i="8"/>
  <c r="B192" i="8" s="1"/>
  <c r="C193" i="8"/>
  <c r="B193" i="8" s="1"/>
  <c r="C194" i="8"/>
  <c r="B194" i="8" s="1"/>
  <c r="C195" i="8"/>
  <c r="B195" i="8" s="1"/>
  <c r="C196" i="8"/>
  <c r="B196" i="8" s="1"/>
  <c r="C197" i="8"/>
  <c r="B197" i="8" s="1"/>
  <c r="C198" i="8"/>
  <c r="B198" i="8" s="1"/>
  <c r="C199" i="8"/>
  <c r="B199" i="8" s="1"/>
  <c r="C200" i="8"/>
  <c r="B200" i="8" s="1"/>
  <c r="C201" i="8"/>
  <c r="B201" i="8" s="1"/>
  <c r="C202" i="8"/>
  <c r="B202" i="8" s="1"/>
  <c r="C203" i="8"/>
  <c r="B203" i="8" s="1"/>
  <c r="C204" i="8"/>
  <c r="B204" i="8" s="1"/>
  <c r="C205" i="8"/>
  <c r="B205" i="8" s="1"/>
  <c r="C206" i="8"/>
  <c r="B206" i="8" s="1"/>
  <c r="C207" i="8"/>
  <c r="B207" i="8" s="1"/>
  <c r="C208" i="8"/>
  <c r="B208" i="8" s="1"/>
  <c r="C209" i="8"/>
  <c r="B209" i="8" s="1"/>
  <c r="C210" i="8"/>
  <c r="B210" i="8" s="1"/>
  <c r="C211" i="8"/>
  <c r="B211" i="8" s="1"/>
  <c r="C212" i="8"/>
  <c r="B212" i="8" s="1"/>
  <c r="C213" i="8"/>
  <c r="B213" i="8" s="1"/>
  <c r="C214" i="8"/>
  <c r="B214" i="8" s="1"/>
  <c r="C215" i="8"/>
  <c r="B215" i="8" s="1"/>
  <c r="C216" i="8"/>
  <c r="B216" i="8" s="1"/>
  <c r="C217" i="8"/>
  <c r="B217" i="8" s="1"/>
  <c r="C218" i="8"/>
  <c r="B218" i="8" s="1"/>
  <c r="C219" i="8"/>
  <c r="B219" i="8" s="1"/>
  <c r="C220" i="8"/>
  <c r="B220" i="8" s="1"/>
  <c r="C221" i="8"/>
  <c r="B221" i="8" s="1"/>
  <c r="C222" i="8"/>
  <c r="B222" i="8" s="1"/>
  <c r="C223" i="8"/>
  <c r="B223" i="8" s="1"/>
  <c r="C224" i="8"/>
  <c r="B224" i="8" s="1"/>
  <c r="C225" i="8"/>
  <c r="B225" i="8" s="1"/>
  <c r="C226" i="8"/>
  <c r="B226" i="8" s="1"/>
  <c r="C227" i="8"/>
  <c r="B227" i="8" s="1"/>
  <c r="C228" i="8"/>
  <c r="B228" i="8" s="1"/>
  <c r="C229" i="8"/>
  <c r="B229" i="8" s="1"/>
  <c r="C230" i="8"/>
  <c r="B230" i="8" s="1"/>
  <c r="C231" i="8"/>
  <c r="B231" i="8" s="1"/>
  <c r="C232" i="8"/>
  <c r="B232" i="8" s="1"/>
  <c r="C233" i="8"/>
  <c r="B233" i="8" s="1"/>
  <c r="C234" i="8"/>
  <c r="B234" i="8" s="1"/>
  <c r="C235" i="8"/>
  <c r="B235" i="8" s="1"/>
  <c r="C236" i="8"/>
  <c r="B236" i="8" s="1"/>
  <c r="C237" i="8"/>
  <c r="B237" i="8" s="1"/>
  <c r="C238" i="8"/>
  <c r="B238" i="8" s="1"/>
  <c r="C239" i="8"/>
  <c r="B239" i="8" s="1"/>
  <c r="C240" i="8"/>
  <c r="B240" i="8" s="1"/>
  <c r="C241" i="8"/>
  <c r="B241" i="8" s="1"/>
  <c r="C242" i="8"/>
  <c r="B242" i="8" s="1"/>
  <c r="C243" i="8"/>
  <c r="B243" i="8" s="1"/>
  <c r="C244" i="8"/>
  <c r="B244" i="8" s="1"/>
  <c r="C245" i="8"/>
  <c r="B245" i="8" s="1"/>
  <c r="C246" i="8"/>
  <c r="B246" i="8" s="1"/>
  <c r="C247" i="8"/>
  <c r="B247" i="8" s="1"/>
  <c r="C248" i="8"/>
  <c r="B248" i="8" s="1"/>
  <c r="C249" i="8"/>
  <c r="B249" i="8" s="1"/>
  <c r="C250" i="8"/>
  <c r="B250" i="8" s="1"/>
  <c r="C251" i="8"/>
  <c r="B251" i="8" s="1"/>
  <c r="C252" i="8"/>
  <c r="B252" i="8" s="1"/>
  <c r="C253" i="8"/>
  <c r="B253" i="8" s="1"/>
  <c r="C254" i="8"/>
  <c r="B254" i="8" s="1"/>
  <c r="C255" i="8"/>
  <c r="B255" i="8" s="1"/>
  <c r="C256" i="8"/>
  <c r="B256" i="8" s="1"/>
  <c r="C257" i="8"/>
  <c r="B257" i="8" s="1"/>
  <c r="C258" i="8"/>
  <c r="B258" i="8" s="1"/>
  <c r="C259" i="8"/>
  <c r="B259" i="8" s="1"/>
  <c r="C260" i="8"/>
  <c r="B260" i="8" s="1"/>
  <c r="C261" i="8"/>
  <c r="B261" i="8" s="1"/>
  <c r="C262" i="8"/>
  <c r="B262" i="8" s="1"/>
  <c r="C263" i="8"/>
  <c r="B263" i="8" s="1"/>
  <c r="C264" i="8"/>
  <c r="B264" i="8" s="1"/>
  <c r="C265" i="8"/>
  <c r="B265" i="8" s="1"/>
  <c r="C266" i="8"/>
  <c r="B266" i="8" s="1"/>
  <c r="C267" i="8"/>
  <c r="B267" i="8" s="1"/>
  <c r="C268" i="8"/>
  <c r="B268" i="8" s="1"/>
  <c r="C269" i="8"/>
  <c r="B269" i="8" s="1"/>
  <c r="C270" i="8"/>
  <c r="B270" i="8" s="1"/>
  <c r="C271" i="8"/>
  <c r="B271" i="8" s="1"/>
  <c r="C272" i="8"/>
  <c r="B272" i="8" s="1"/>
  <c r="C273" i="8"/>
  <c r="B273" i="8" s="1"/>
  <c r="C274" i="8"/>
  <c r="B274" i="8" s="1"/>
  <c r="C275" i="8"/>
  <c r="B275" i="8" s="1"/>
  <c r="C276" i="8"/>
  <c r="B276" i="8" s="1"/>
  <c r="C277" i="8"/>
  <c r="B277" i="8" s="1"/>
  <c r="C278" i="8"/>
  <c r="B278" i="8" s="1"/>
  <c r="C279" i="8"/>
  <c r="B279" i="8" s="1"/>
  <c r="C280" i="8"/>
  <c r="B280" i="8" s="1"/>
  <c r="C281" i="8"/>
  <c r="B281" i="8" s="1"/>
  <c r="C282" i="8"/>
  <c r="B282" i="8" s="1"/>
  <c r="C283" i="8"/>
  <c r="B283" i="8" s="1"/>
  <c r="C284" i="8"/>
  <c r="B284" i="8" s="1"/>
  <c r="C285" i="8"/>
  <c r="B285" i="8" s="1"/>
  <c r="C286" i="8"/>
  <c r="B286" i="8" s="1"/>
  <c r="C287" i="8"/>
  <c r="B287" i="8" s="1"/>
  <c r="C288" i="8"/>
  <c r="B288" i="8" s="1"/>
  <c r="C289" i="8"/>
  <c r="B289" i="8" s="1"/>
  <c r="C290" i="8"/>
  <c r="B290" i="8" s="1"/>
  <c r="C291" i="8"/>
  <c r="B291" i="8" s="1"/>
  <c r="C292" i="8"/>
  <c r="B292" i="8" s="1"/>
  <c r="C293" i="8"/>
  <c r="B293" i="8" s="1"/>
  <c r="C294" i="8"/>
  <c r="B294" i="8" s="1"/>
  <c r="C295" i="8"/>
  <c r="B295" i="8" s="1"/>
  <c r="C296" i="8"/>
  <c r="B296" i="8" s="1"/>
  <c r="C297" i="8"/>
  <c r="B297" i="8" s="1"/>
  <c r="C298" i="8"/>
  <c r="B298" i="8" s="1"/>
  <c r="C299" i="8"/>
  <c r="B299" i="8" s="1"/>
  <c r="C300" i="8"/>
  <c r="B300" i="8" s="1"/>
  <c r="C301" i="8"/>
  <c r="B301" i="8" s="1"/>
  <c r="C302" i="8"/>
  <c r="B302" i="8" s="1"/>
  <c r="C303" i="8"/>
  <c r="B303" i="8" s="1"/>
  <c r="C304" i="8"/>
  <c r="B304" i="8" s="1"/>
  <c r="C305" i="8"/>
  <c r="B305" i="8" s="1"/>
  <c r="C306" i="8"/>
  <c r="B306" i="8" s="1"/>
  <c r="C307" i="8"/>
  <c r="B307" i="8" s="1"/>
  <c r="C308" i="8"/>
  <c r="B308" i="8" s="1"/>
  <c r="C309" i="8"/>
  <c r="B309" i="8" s="1"/>
  <c r="C310" i="8"/>
  <c r="B310" i="8" s="1"/>
  <c r="C311" i="8"/>
  <c r="B311" i="8" s="1"/>
  <c r="C312" i="8"/>
  <c r="B312" i="8" s="1"/>
  <c r="C313" i="8"/>
  <c r="B313" i="8" s="1"/>
  <c r="C314" i="8"/>
  <c r="B314" i="8" s="1"/>
  <c r="C315" i="8"/>
  <c r="B315" i="8" s="1"/>
  <c r="C316" i="8"/>
  <c r="B316" i="8" s="1"/>
  <c r="C317" i="8"/>
  <c r="B317" i="8" s="1"/>
  <c r="C318" i="8"/>
  <c r="B318" i="8" s="1"/>
  <c r="C319" i="8"/>
  <c r="B319" i="8" s="1"/>
  <c r="C320" i="8"/>
  <c r="B320" i="8" s="1"/>
  <c r="C321" i="8"/>
  <c r="B321" i="8" s="1"/>
  <c r="C322" i="8"/>
  <c r="B322" i="8" s="1"/>
  <c r="C323" i="8"/>
  <c r="B323" i="8" s="1"/>
  <c r="C324" i="8"/>
  <c r="B324" i="8" s="1"/>
  <c r="C325" i="8"/>
  <c r="B325" i="8" s="1"/>
  <c r="C326" i="8"/>
  <c r="B326" i="8" s="1"/>
  <c r="C327" i="8"/>
  <c r="B327" i="8" s="1"/>
  <c r="C328" i="8"/>
  <c r="B328" i="8" s="1"/>
  <c r="C329" i="8"/>
  <c r="B329" i="8" s="1"/>
  <c r="C330" i="8"/>
  <c r="B330" i="8" s="1"/>
  <c r="C331" i="8"/>
  <c r="B331" i="8" s="1"/>
  <c r="C332" i="8"/>
  <c r="B332" i="8" s="1"/>
  <c r="C333" i="8"/>
  <c r="B333" i="8" s="1"/>
  <c r="C334" i="8"/>
  <c r="B334" i="8" s="1"/>
  <c r="C335" i="8"/>
  <c r="B335" i="8" s="1"/>
  <c r="C336" i="8"/>
  <c r="B336" i="8" s="1"/>
  <c r="C337" i="8"/>
  <c r="B337" i="8" s="1"/>
  <c r="C338" i="8"/>
  <c r="B338" i="8" s="1"/>
  <c r="C339" i="8"/>
  <c r="B339" i="8" s="1"/>
  <c r="C340" i="8"/>
  <c r="B340" i="8" s="1"/>
  <c r="C341" i="8"/>
  <c r="B341" i="8" s="1"/>
  <c r="C342" i="8"/>
  <c r="B342" i="8" s="1"/>
  <c r="C343" i="8"/>
  <c r="B343" i="8" s="1"/>
  <c r="C344" i="8"/>
  <c r="B344" i="8" s="1"/>
  <c r="C345" i="8"/>
  <c r="B345" i="8" s="1"/>
  <c r="C346" i="8"/>
  <c r="B346" i="8" s="1"/>
  <c r="C347" i="8"/>
  <c r="B347" i="8" s="1"/>
  <c r="C348" i="8"/>
  <c r="B348" i="8" s="1"/>
  <c r="C349" i="8"/>
  <c r="B349" i="8" s="1"/>
  <c r="C350" i="8"/>
  <c r="B350" i="8" s="1"/>
  <c r="C351" i="8"/>
  <c r="B351" i="8" s="1"/>
  <c r="C352" i="8"/>
  <c r="B352" i="8" s="1"/>
  <c r="C353" i="8"/>
  <c r="B353" i="8" s="1"/>
  <c r="C354" i="8"/>
  <c r="B354" i="8" s="1"/>
  <c r="C355" i="8"/>
  <c r="B355" i="8" s="1"/>
  <c r="C356" i="8"/>
  <c r="B356" i="8" s="1"/>
  <c r="C357" i="8"/>
  <c r="B357" i="8" s="1"/>
  <c r="C358" i="8"/>
  <c r="B358" i="8" s="1"/>
  <c r="C359" i="8"/>
  <c r="B359" i="8" s="1"/>
  <c r="C360" i="8"/>
  <c r="B360" i="8" s="1"/>
  <c r="C361" i="8"/>
  <c r="B361" i="8" s="1"/>
  <c r="C362" i="8"/>
  <c r="B362" i="8" s="1"/>
  <c r="C363" i="8"/>
  <c r="B363" i="8" s="1"/>
  <c r="C364" i="8"/>
  <c r="B364" i="8" s="1"/>
  <c r="C365" i="8"/>
  <c r="B365" i="8" s="1"/>
  <c r="C366" i="8"/>
  <c r="B366" i="8" s="1"/>
  <c r="C367" i="8"/>
  <c r="B367" i="8" s="1"/>
  <c r="C368" i="8"/>
  <c r="B368" i="8" s="1"/>
  <c r="C369" i="8"/>
  <c r="B369" i="8" s="1"/>
  <c r="C370" i="8"/>
  <c r="B370" i="8" s="1"/>
  <c r="C371" i="8"/>
  <c r="B371" i="8" s="1"/>
  <c r="C372" i="8"/>
  <c r="B372" i="8" s="1"/>
  <c r="C373" i="8"/>
  <c r="B373" i="8" s="1"/>
  <c r="C374" i="8"/>
  <c r="B374" i="8" s="1"/>
  <c r="C375" i="8"/>
  <c r="B375" i="8" s="1"/>
  <c r="C376" i="8"/>
  <c r="B376" i="8" s="1"/>
  <c r="C377" i="8"/>
  <c r="B377" i="8" s="1"/>
  <c r="C378" i="8"/>
  <c r="B378" i="8" s="1"/>
  <c r="C379" i="8"/>
  <c r="B379" i="8" s="1"/>
  <c r="C380" i="8"/>
  <c r="B380" i="8" s="1"/>
  <c r="C381" i="8"/>
  <c r="B381" i="8" s="1"/>
  <c r="C382" i="8"/>
  <c r="B382" i="8" s="1"/>
  <c r="C383" i="8"/>
  <c r="B383" i="8" s="1"/>
  <c r="C384" i="8"/>
  <c r="B384" i="8" s="1"/>
  <c r="C385" i="8"/>
  <c r="B385" i="8" s="1"/>
  <c r="C386" i="8"/>
  <c r="B386" i="8" s="1"/>
  <c r="C387" i="8"/>
  <c r="B387" i="8" s="1"/>
  <c r="C388" i="8"/>
  <c r="B388" i="8" s="1"/>
  <c r="C389" i="8"/>
  <c r="B389" i="8" s="1"/>
  <c r="C390" i="8"/>
  <c r="B390" i="8" s="1"/>
  <c r="C391" i="8"/>
  <c r="B391" i="8" s="1"/>
  <c r="C392" i="8"/>
  <c r="B392" i="8" s="1"/>
  <c r="C393" i="8"/>
  <c r="B393" i="8" s="1"/>
  <c r="C394" i="8"/>
  <c r="B394" i="8" s="1"/>
  <c r="C395" i="8"/>
  <c r="B395" i="8" s="1"/>
  <c r="C396" i="8"/>
  <c r="B396" i="8" s="1"/>
  <c r="C397" i="8"/>
  <c r="B397" i="8" s="1"/>
  <c r="C398" i="8"/>
  <c r="B398" i="8" s="1"/>
  <c r="C399" i="8"/>
  <c r="B399" i="8" s="1"/>
  <c r="C400" i="8"/>
  <c r="B400" i="8" s="1"/>
  <c r="C401" i="8"/>
  <c r="B401" i="8" s="1"/>
  <c r="C402" i="8"/>
  <c r="B402" i="8" s="1"/>
  <c r="C403" i="8"/>
  <c r="B403" i="8" s="1"/>
  <c r="C404" i="8"/>
  <c r="B404" i="8" s="1"/>
  <c r="C405" i="8"/>
  <c r="B405" i="8" s="1"/>
  <c r="C406" i="8"/>
  <c r="B406" i="8" s="1"/>
  <c r="C407" i="8"/>
  <c r="B407" i="8" s="1"/>
  <c r="C408" i="8"/>
  <c r="B408" i="8" s="1"/>
  <c r="C409" i="8"/>
  <c r="B409" i="8" s="1"/>
  <c r="C410" i="8"/>
  <c r="B410" i="8" s="1"/>
  <c r="C411" i="8"/>
  <c r="B411" i="8" s="1"/>
  <c r="C412" i="8"/>
  <c r="B412" i="8" s="1"/>
  <c r="C413" i="8"/>
  <c r="B413" i="8" s="1"/>
  <c r="C414" i="8"/>
  <c r="B414" i="8" s="1"/>
  <c r="C415" i="8"/>
  <c r="B415" i="8" s="1"/>
  <c r="C416" i="8"/>
  <c r="B416" i="8" s="1"/>
  <c r="C417" i="8"/>
  <c r="B417" i="8" s="1"/>
  <c r="C418" i="8"/>
  <c r="B418" i="8" s="1"/>
  <c r="C419" i="8"/>
  <c r="B419" i="8" s="1"/>
  <c r="C420" i="8"/>
  <c r="B420" i="8" s="1"/>
  <c r="C421" i="8"/>
  <c r="B421" i="8" s="1"/>
  <c r="C422" i="8"/>
  <c r="B422" i="8" s="1"/>
  <c r="C423" i="8"/>
  <c r="B423" i="8" s="1"/>
  <c r="C424" i="8"/>
  <c r="B424" i="8" s="1"/>
  <c r="C425" i="8"/>
  <c r="B425" i="8" s="1"/>
  <c r="C426" i="8"/>
  <c r="B426" i="8" s="1"/>
  <c r="C427" i="8"/>
  <c r="B427" i="8" s="1"/>
  <c r="C428" i="8"/>
  <c r="B428" i="8" s="1"/>
  <c r="C429" i="8"/>
  <c r="B429" i="8" s="1"/>
  <c r="C430" i="8"/>
  <c r="B430" i="8" s="1"/>
  <c r="C431" i="8"/>
  <c r="B431" i="8" s="1"/>
  <c r="C432" i="8"/>
  <c r="B432" i="8" s="1"/>
  <c r="C433" i="8"/>
  <c r="B433" i="8" s="1"/>
  <c r="C434" i="8"/>
  <c r="B434" i="8" s="1"/>
  <c r="C435" i="8"/>
  <c r="B435" i="8" s="1"/>
  <c r="C436" i="8"/>
  <c r="B436" i="8" s="1"/>
  <c r="C437" i="8"/>
  <c r="B437" i="8" s="1"/>
  <c r="C438" i="8"/>
  <c r="B438" i="8" s="1"/>
  <c r="C439" i="8"/>
  <c r="B439" i="8" s="1"/>
  <c r="C440" i="8"/>
  <c r="B440" i="8" s="1"/>
  <c r="C441" i="8"/>
  <c r="B441" i="8" s="1"/>
  <c r="C442" i="8"/>
  <c r="B442" i="8" s="1"/>
  <c r="C443" i="8"/>
  <c r="B443" i="8" s="1"/>
  <c r="C444" i="8"/>
  <c r="B444" i="8" s="1"/>
  <c r="C445" i="8"/>
  <c r="B445" i="8" s="1"/>
  <c r="C446" i="8"/>
  <c r="B446" i="8" s="1"/>
  <c r="C447" i="8"/>
  <c r="B447" i="8" s="1"/>
  <c r="C448" i="8"/>
  <c r="B448" i="8" s="1"/>
  <c r="C449" i="8"/>
  <c r="B449" i="8" s="1"/>
  <c r="C450" i="8"/>
  <c r="B450" i="8" s="1"/>
  <c r="C451" i="8"/>
  <c r="B451" i="8" s="1"/>
  <c r="C452" i="8"/>
  <c r="B452" i="8" s="1"/>
  <c r="C453" i="8"/>
  <c r="B453" i="8" s="1"/>
  <c r="C454" i="8"/>
  <c r="B454" i="8" s="1"/>
  <c r="C455" i="8"/>
  <c r="B455" i="8" s="1"/>
  <c r="C456" i="8"/>
  <c r="B456" i="8" s="1"/>
  <c r="C457" i="8"/>
  <c r="B457" i="8" s="1"/>
  <c r="C458" i="8"/>
  <c r="B458" i="8" s="1"/>
  <c r="C459" i="8"/>
  <c r="B459" i="8" s="1"/>
  <c r="C460" i="8"/>
  <c r="B460" i="8" s="1"/>
  <c r="C461" i="8"/>
  <c r="B461" i="8" s="1"/>
  <c r="C462" i="8"/>
  <c r="B462" i="8" s="1"/>
  <c r="C463" i="8"/>
  <c r="B463" i="8" s="1"/>
  <c r="C464" i="8"/>
  <c r="B464" i="8" s="1"/>
  <c r="C465" i="8"/>
  <c r="B465" i="8" s="1"/>
  <c r="C466" i="8"/>
  <c r="B466" i="8" s="1"/>
  <c r="C467" i="8"/>
  <c r="B467" i="8" s="1"/>
  <c r="C468" i="8"/>
  <c r="B468" i="8" s="1"/>
  <c r="C469" i="8"/>
  <c r="B469" i="8" s="1"/>
  <c r="C470" i="8"/>
  <c r="B470" i="8" s="1"/>
  <c r="C471" i="8"/>
  <c r="B471" i="8" s="1"/>
  <c r="C472" i="8"/>
  <c r="B472" i="8" s="1"/>
  <c r="C473" i="8"/>
  <c r="B473" i="8" s="1"/>
  <c r="C474" i="8"/>
  <c r="B474" i="8" s="1"/>
  <c r="C475" i="8"/>
  <c r="B475" i="8" s="1"/>
  <c r="C476" i="8"/>
  <c r="B476" i="8" s="1"/>
  <c r="C477" i="8"/>
  <c r="B477" i="8" s="1"/>
  <c r="C478" i="8"/>
  <c r="B478" i="8" s="1"/>
  <c r="C479" i="8"/>
  <c r="B479" i="8" s="1"/>
  <c r="C480" i="8"/>
  <c r="B480" i="8" s="1"/>
  <c r="C481" i="8"/>
  <c r="B481" i="8" s="1"/>
  <c r="C482" i="8"/>
  <c r="B482" i="8" s="1"/>
  <c r="C483" i="8"/>
  <c r="B483" i="8" s="1"/>
  <c r="C484" i="8"/>
  <c r="B484" i="8" s="1"/>
  <c r="C485" i="8"/>
  <c r="B485" i="8" s="1"/>
  <c r="C486" i="8"/>
  <c r="B486" i="8" s="1"/>
  <c r="C487" i="8"/>
  <c r="B487" i="8" s="1"/>
  <c r="C488" i="8"/>
  <c r="B488" i="8" s="1"/>
  <c r="C489" i="8"/>
  <c r="B489" i="8" s="1"/>
  <c r="C490" i="8"/>
  <c r="B490" i="8" s="1"/>
  <c r="C491" i="8"/>
  <c r="B491" i="8" s="1"/>
  <c r="C492" i="8"/>
  <c r="B492" i="8" s="1"/>
  <c r="C493" i="8"/>
  <c r="B493" i="8" s="1"/>
  <c r="C494" i="8"/>
  <c r="B494" i="8" s="1"/>
  <c r="C495" i="8"/>
  <c r="B495" i="8" s="1"/>
  <c r="C496" i="8"/>
  <c r="B496" i="8" s="1"/>
  <c r="C497" i="8"/>
  <c r="B497" i="8" s="1"/>
  <c r="C498" i="8"/>
  <c r="B498" i="8" s="1"/>
  <c r="C499" i="8"/>
  <c r="B499" i="8" s="1"/>
  <c r="C500" i="8"/>
  <c r="B500" i="8" s="1"/>
  <c r="C501" i="8"/>
  <c r="B501" i="8" s="1"/>
  <c r="C502" i="8"/>
  <c r="B502" i="8" s="1"/>
  <c r="C503" i="8"/>
  <c r="B503" i="8" s="1"/>
  <c r="C504" i="8"/>
  <c r="B504" i="8" s="1"/>
  <c r="C505" i="8"/>
  <c r="B505" i="8" s="1"/>
  <c r="C506" i="8"/>
  <c r="B506" i="8" s="1"/>
  <c r="C507" i="8"/>
  <c r="B507" i="8" s="1"/>
  <c r="C508" i="8"/>
  <c r="B508" i="8" s="1"/>
  <c r="C509" i="8"/>
  <c r="B509" i="8" s="1"/>
  <c r="C510" i="8"/>
  <c r="B510" i="8" s="1"/>
  <c r="C511" i="8"/>
  <c r="B511" i="8" s="1"/>
  <c r="C512" i="8"/>
  <c r="B512" i="8" s="1"/>
  <c r="C513" i="8"/>
  <c r="B513" i="8" s="1"/>
  <c r="C514" i="8"/>
  <c r="B514" i="8" s="1"/>
  <c r="C515" i="8"/>
  <c r="B515" i="8" s="1"/>
  <c r="C516" i="8"/>
  <c r="B516" i="8" s="1"/>
  <c r="C517" i="8"/>
  <c r="B517" i="8" s="1"/>
  <c r="C518" i="8"/>
  <c r="B518" i="8" s="1"/>
  <c r="C519" i="8"/>
  <c r="B519" i="8" s="1"/>
  <c r="C520" i="8"/>
  <c r="B520" i="8" s="1"/>
  <c r="C521" i="8"/>
  <c r="B521" i="8" s="1"/>
  <c r="C522" i="8"/>
  <c r="B522" i="8" s="1"/>
  <c r="C523" i="8"/>
  <c r="B523" i="8" s="1"/>
  <c r="C524" i="8"/>
  <c r="B524" i="8" s="1"/>
  <c r="C525" i="8"/>
  <c r="B525" i="8" s="1"/>
  <c r="C526" i="8"/>
  <c r="B526" i="8" s="1"/>
  <c r="C527" i="8"/>
  <c r="B527" i="8" s="1"/>
  <c r="C528" i="8"/>
  <c r="B528" i="8" s="1"/>
  <c r="C529" i="8"/>
  <c r="B529" i="8" s="1"/>
  <c r="C530" i="8"/>
  <c r="B530" i="8" s="1"/>
  <c r="C531" i="8"/>
  <c r="B531" i="8" s="1"/>
  <c r="C532" i="8"/>
  <c r="B532" i="8" s="1"/>
  <c r="C533" i="8"/>
  <c r="B533" i="8" s="1"/>
  <c r="C534" i="8"/>
  <c r="B534" i="8" s="1"/>
  <c r="C535" i="8"/>
  <c r="B535" i="8" s="1"/>
  <c r="C536" i="8"/>
  <c r="B536" i="8" s="1"/>
  <c r="C537" i="8"/>
  <c r="B537" i="8" s="1"/>
  <c r="C538" i="8"/>
  <c r="B538" i="8" s="1"/>
  <c r="C539" i="8"/>
  <c r="B539" i="8" s="1"/>
  <c r="C540" i="8"/>
  <c r="B540" i="8" s="1"/>
  <c r="C541" i="8"/>
  <c r="B541" i="8" s="1"/>
  <c r="C542" i="8"/>
  <c r="B542" i="8" s="1"/>
  <c r="C543" i="8"/>
  <c r="B543" i="8" s="1"/>
  <c r="C544" i="8"/>
  <c r="B544" i="8" s="1"/>
  <c r="C545" i="8"/>
  <c r="B545" i="8" s="1"/>
  <c r="C546" i="8"/>
  <c r="B546" i="8" s="1"/>
  <c r="C547" i="8"/>
  <c r="B547" i="8" s="1"/>
  <c r="C548" i="8"/>
  <c r="B548" i="8" s="1"/>
  <c r="C549" i="8"/>
  <c r="B549" i="8" s="1"/>
  <c r="C550" i="8"/>
  <c r="B550" i="8" s="1"/>
  <c r="C551" i="8"/>
  <c r="B551" i="8" s="1"/>
  <c r="C552" i="8"/>
  <c r="B552" i="8" s="1"/>
  <c r="C553" i="8"/>
  <c r="B553" i="8" s="1"/>
  <c r="C554" i="8"/>
  <c r="B554" i="8" s="1"/>
  <c r="C555" i="8"/>
  <c r="B555" i="8" s="1"/>
  <c r="C556" i="8"/>
  <c r="B556" i="8" s="1"/>
  <c r="C557" i="8"/>
  <c r="B557" i="8" s="1"/>
  <c r="C558" i="8"/>
  <c r="B558" i="8" s="1"/>
  <c r="C559" i="8"/>
  <c r="B559" i="8" s="1"/>
  <c r="C560" i="8"/>
  <c r="B560" i="8" s="1"/>
  <c r="C561" i="8"/>
  <c r="B561" i="8" s="1"/>
  <c r="C562" i="8"/>
  <c r="B562" i="8" s="1"/>
  <c r="C563" i="8"/>
  <c r="B563" i="8" s="1"/>
  <c r="C564" i="8"/>
  <c r="B564" i="8" s="1"/>
  <c r="C565" i="8"/>
  <c r="B565" i="8" s="1"/>
  <c r="C566" i="8"/>
  <c r="B566" i="8" s="1"/>
  <c r="C567" i="8"/>
  <c r="B567" i="8" s="1"/>
  <c r="C568" i="8"/>
  <c r="B568" i="8" s="1"/>
  <c r="C569" i="8"/>
  <c r="B569" i="8" s="1"/>
  <c r="C570" i="8"/>
  <c r="B570" i="8" s="1"/>
  <c r="C571" i="8"/>
  <c r="B571" i="8" s="1"/>
  <c r="C572" i="8"/>
  <c r="B572" i="8" s="1"/>
  <c r="C573" i="8"/>
  <c r="B573" i="8" s="1"/>
  <c r="C574" i="8"/>
  <c r="B574" i="8" s="1"/>
  <c r="C575" i="8"/>
  <c r="B575" i="8" s="1"/>
  <c r="C576" i="8"/>
  <c r="B576" i="8" s="1"/>
  <c r="C577" i="8"/>
  <c r="B577" i="8" s="1"/>
  <c r="C578" i="8"/>
  <c r="B578" i="8" s="1"/>
  <c r="C579" i="8"/>
  <c r="B579" i="8" s="1"/>
  <c r="C580" i="8"/>
  <c r="B580" i="8" s="1"/>
  <c r="C581" i="8"/>
  <c r="B581" i="8" s="1"/>
  <c r="C582" i="8"/>
  <c r="B582" i="8" s="1"/>
  <c r="C583" i="8"/>
  <c r="B583" i="8" s="1"/>
  <c r="C584" i="8"/>
  <c r="B584" i="8" s="1"/>
  <c r="C585" i="8"/>
  <c r="B585" i="8" s="1"/>
  <c r="C586" i="8"/>
  <c r="B586" i="8" s="1"/>
  <c r="C587" i="8"/>
  <c r="B587" i="8" s="1"/>
  <c r="C588" i="8"/>
  <c r="B588" i="8" s="1"/>
  <c r="C589" i="8"/>
  <c r="B589" i="8" s="1"/>
  <c r="C590" i="8"/>
  <c r="B590" i="8" s="1"/>
  <c r="C591" i="8"/>
  <c r="B591" i="8" s="1"/>
  <c r="C592" i="8"/>
  <c r="B592" i="8" s="1"/>
  <c r="C593" i="8"/>
  <c r="B593" i="8" s="1"/>
  <c r="C594" i="8"/>
  <c r="B594" i="8" s="1"/>
  <c r="C595" i="8"/>
  <c r="B595" i="8" s="1"/>
  <c r="C596" i="8"/>
  <c r="B596" i="8" s="1"/>
  <c r="C597" i="8"/>
  <c r="B597" i="8" s="1"/>
  <c r="C598" i="8"/>
  <c r="B598" i="8" s="1"/>
  <c r="C599" i="8"/>
  <c r="B599" i="8" s="1"/>
  <c r="C600" i="8"/>
  <c r="B600" i="8" s="1"/>
  <c r="C601" i="8"/>
  <c r="B601" i="8" s="1"/>
  <c r="C602" i="8"/>
  <c r="B602" i="8" s="1"/>
  <c r="C603" i="8"/>
  <c r="B603" i="8" s="1"/>
  <c r="C604" i="8"/>
  <c r="B604" i="8" s="1"/>
  <c r="C605" i="8"/>
  <c r="B605" i="8" s="1"/>
  <c r="C606" i="8"/>
  <c r="B606" i="8" s="1"/>
  <c r="C607" i="8"/>
  <c r="B607" i="8" s="1"/>
  <c r="C608" i="8"/>
  <c r="B608" i="8" s="1"/>
  <c r="C609" i="8"/>
  <c r="B609" i="8" s="1"/>
  <c r="C610" i="8"/>
  <c r="B610" i="8" s="1"/>
  <c r="C611" i="8"/>
  <c r="B611" i="8" s="1"/>
  <c r="C612" i="8"/>
  <c r="B612" i="8" s="1"/>
  <c r="C613" i="8"/>
  <c r="B613" i="8" s="1"/>
  <c r="C614" i="8"/>
  <c r="B614" i="8" s="1"/>
  <c r="C615" i="8"/>
  <c r="B615" i="8" s="1"/>
  <c r="C616" i="8"/>
  <c r="B616" i="8" s="1"/>
  <c r="C617" i="8"/>
  <c r="B617" i="8" s="1"/>
  <c r="C618" i="8"/>
  <c r="B618" i="8" s="1"/>
  <c r="C619" i="8"/>
  <c r="B619" i="8" s="1"/>
  <c r="C620" i="8"/>
  <c r="B620" i="8" s="1"/>
  <c r="C621" i="8"/>
  <c r="B621" i="8" s="1"/>
  <c r="C622" i="8"/>
  <c r="B622" i="8" s="1"/>
  <c r="C623" i="8"/>
  <c r="B623" i="8" s="1"/>
  <c r="C624" i="8"/>
  <c r="B624" i="8" s="1"/>
  <c r="C625" i="8"/>
  <c r="B625" i="8" s="1"/>
  <c r="C626" i="8"/>
  <c r="B626" i="8" s="1"/>
  <c r="C627" i="8"/>
  <c r="B627" i="8" s="1"/>
  <c r="C628" i="8"/>
  <c r="B628" i="8" s="1"/>
  <c r="C629" i="8"/>
  <c r="B629" i="8" s="1"/>
  <c r="C630" i="8"/>
  <c r="B630" i="8" s="1"/>
  <c r="C631" i="8"/>
  <c r="B631" i="8" s="1"/>
  <c r="C632" i="8"/>
  <c r="B632" i="8" s="1"/>
  <c r="C633" i="8"/>
  <c r="B633" i="8" s="1"/>
  <c r="C634" i="8"/>
  <c r="B634" i="8" s="1"/>
  <c r="C635" i="8"/>
  <c r="B635" i="8" s="1"/>
  <c r="C636" i="8"/>
  <c r="B636" i="8" s="1"/>
  <c r="C637" i="8"/>
  <c r="B637" i="8" s="1"/>
  <c r="C638" i="8"/>
  <c r="B638" i="8" s="1"/>
  <c r="C639" i="8"/>
  <c r="B639" i="8" s="1"/>
  <c r="C640" i="8"/>
  <c r="B640" i="8" s="1"/>
  <c r="C641" i="8"/>
  <c r="B641" i="8" s="1"/>
  <c r="C642" i="8"/>
  <c r="B642" i="8" s="1"/>
  <c r="C643" i="8"/>
  <c r="B643" i="8" s="1"/>
  <c r="C644" i="8"/>
  <c r="B644" i="8" s="1"/>
  <c r="C645" i="8"/>
  <c r="B645" i="8" s="1"/>
  <c r="C646" i="8"/>
  <c r="B646" i="8" s="1"/>
  <c r="C647" i="8"/>
  <c r="B647" i="8" s="1"/>
  <c r="C648" i="8"/>
  <c r="B648" i="8" s="1"/>
  <c r="C649" i="8"/>
  <c r="B649" i="8" s="1"/>
  <c r="C650" i="8"/>
  <c r="B650" i="8" s="1"/>
  <c r="C651" i="8"/>
  <c r="B651" i="8" s="1"/>
  <c r="C652" i="8"/>
  <c r="B652" i="8" s="1"/>
  <c r="C653" i="8"/>
  <c r="B653" i="8" s="1"/>
  <c r="C654" i="8"/>
  <c r="B654" i="8" s="1"/>
  <c r="C655" i="8"/>
  <c r="B655" i="8" s="1"/>
  <c r="C656" i="8"/>
  <c r="B656" i="8" s="1"/>
  <c r="C657" i="8"/>
  <c r="B657" i="8" s="1"/>
  <c r="C658" i="8"/>
  <c r="B658" i="8" s="1"/>
  <c r="C659" i="8"/>
  <c r="B659" i="8" s="1"/>
  <c r="C660" i="8"/>
  <c r="B660" i="8" s="1"/>
  <c r="C661" i="8"/>
  <c r="B661" i="8" s="1"/>
  <c r="C662" i="8"/>
  <c r="B662" i="8" s="1"/>
  <c r="C663" i="8"/>
  <c r="B663" i="8" s="1"/>
  <c r="C664" i="8"/>
  <c r="B664" i="8" s="1"/>
  <c r="C665" i="8"/>
  <c r="B665" i="8" s="1"/>
  <c r="C666" i="8"/>
  <c r="B666" i="8" s="1"/>
  <c r="C667" i="8"/>
  <c r="B667" i="8" s="1"/>
  <c r="C668" i="8"/>
  <c r="B668" i="8" s="1"/>
  <c r="C669" i="8"/>
  <c r="B669" i="8" s="1"/>
  <c r="C670" i="8"/>
  <c r="B670" i="8" s="1"/>
  <c r="C671" i="8"/>
  <c r="B671" i="8" s="1"/>
  <c r="C672" i="8"/>
  <c r="B672" i="8" s="1"/>
  <c r="C673" i="8"/>
  <c r="B673" i="8" s="1"/>
  <c r="C674" i="8"/>
  <c r="B674" i="8" s="1"/>
  <c r="C675" i="8"/>
  <c r="B675" i="8" s="1"/>
  <c r="C676" i="8"/>
  <c r="B676" i="8" s="1"/>
  <c r="C677" i="8"/>
  <c r="B677" i="8" s="1"/>
  <c r="C678" i="8"/>
  <c r="B678" i="8" s="1"/>
  <c r="C679" i="8"/>
  <c r="B679" i="8" s="1"/>
  <c r="C680" i="8"/>
  <c r="B680" i="8" s="1"/>
  <c r="C681" i="8"/>
  <c r="B681" i="8" s="1"/>
  <c r="C682" i="8"/>
  <c r="B682" i="8" s="1"/>
  <c r="C683" i="8"/>
  <c r="B683" i="8" s="1"/>
  <c r="C684" i="8"/>
  <c r="B684" i="8" s="1"/>
  <c r="C685" i="8"/>
  <c r="B685" i="8" s="1"/>
  <c r="C686" i="8"/>
  <c r="B686" i="8" s="1"/>
  <c r="C687" i="8"/>
  <c r="B687" i="8" s="1"/>
  <c r="C688" i="8"/>
  <c r="B688" i="8" s="1"/>
  <c r="C689" i="8"/>
  <c r="B689" i="8" s="1"/>
  <c r="C690" i="8"/>
  <c r="B690" i="8" s="1"/>
  <c r="C691" i="8"/>
  <c r="B691" i="8" s="1"/>
  <c r="C692" i="8"/>
  <c r="B692" i="8" s="1"/>
  <c r="C693" i="8"/>
  <c r="B693" i="8" s="1"/>
  <c r="C694" i="8"/>
  <c r="B694" i="8" s="1"/>
  <c r="C695" i="8"/>
  <c r="B695" i="8" s="1"/>
  <c r="C696" i="8"/>
  <c r="B696" i="8" s="1"/>
  <c r="C697" i="8"/>
  <c r="B697" i="8" s="1"/>
  <c r="C698" i="8"/>
  <c r="B698" i="8" s="1"/>
  <c r="C699" i="8"/>
  <c r="B699" i="8" s="1"/>
  <c r="C700" i="8"/>
  <c r="B700" i="8" s="1"/>
  <c r="C701" i="8"/>
  <c r="B701" i="8" s="1"/>
  <c r="C702" i="8"/>
  <c r="B702" i="8" s="1"/>
  <c r="C703" i="8"/>
  <c r="B703" i="8" s="1"/>
  <c r="C704" i="8"/>
  <c r="B704" i="8" s="1"/>
  <c r="C705" i="8"/>
  <c r="B705" i="8" s="1"/>
  <c r="C706" i="8"/>
  <c r="B706" i="8" s="1"/>
  <c r="C707" i="8"/>
  <c r="B707" i="8" s="1"/>
  <c r="C708" i="8"/>
  <c r="B708" i="8" s="1"/>
  <c r="C709" i="8"/>
  <c r="B709" i="8" s="1"/>
  <c r="C710" i="8"/>
  <c r="B710" i="8" s="1"/>
  <c r="C711" i="8"/>
  <c r="B711" i="8" s="1"/>
  <c r="C712" i="8"/>
  <c r="B712" i="8" s="1"/>
  <c r="C713" i="8"/>
  <c r="B713" i="8" s="1"/>
  <c r="C714" i="8"/>
  <c r="B714" i="8" s="1"/>
  <c r="C715" i="8"/>
  <c r="B715" i="8" s="1"/>
  <c r="C716" i="8"/>
  <c r="B716" i="8" s="1"/>
  <c r="C717" i="8"/>
  <c r="B717" i="8" s="1"/>
  <c r="C718" i="8"/>
  <c r="B718" i="8" s="1"/>
  <c r="C719" i="8"/>
  <c r="B719" i="8" s="1"/>
  <c r="C720" i="8"/>
  <c r="B720" i="8" s="1"/>
  <c r="C721" i="8"/>
  <c r="B721" i="8" s="1"/>
  <c r="C722" i="8"/>
  <c r="B722" i="8" s="1"/>
  <c r="C723" i="8"/>
  <c r="B723" i="8" s="1"/>
  <c r="C724" i="8"/>
  <c r="B724" i="8" s="1"/>
  <c r="C725" i="8"/>
  <c r="B725" i="8" s="1"/>
  <c r="C726" i="8"/>
  <c r="B726" i="8" s="1"/>
  <c r="C727" i="8"/>
  <c r="B727" i="8" s="1"/>
  <c r="C728" i="8"/>
  <c r="B728" i="8" s="1"/>
  <c r="C729" i="8"/>
  <c r="B729" i="8" s="1"/>
  <c r="C730" i="8"/>
  <c r="B730" i="8" s="1"/>
  <c r="C731" i="8"/>
  <c r="B731" i="8" s="1"/>
  <c r="C732" i="8"/>
  <c r="B732" i="8" s="1"/>
  <c r="C733" i="8"/>
  <c r="B733" i="8" s="1"/>
  <c r="C734" i="8"/>
  <c r="B734" i="8" s="1"/>
  <c r="C735" i="8"/>
  <c r="B735" i="8" s="1"/>
  <c r="C736" i="8"/>
  <c r="B736" i="8" s="1"/>
  <c r="C737" i="8"/>
  <c r="B737" i="8" s="1"/>
  <c r="C738" i="8"/>
  <c r="B738" i="8" s="1"/>
  <c r="C739" i="8"/>
  <c r="B739" i="8" s="1"/>
  <c r="C740" i="8"/>
  <c r="B740" i="8" s="1"/>
  <c r="C741" i="8"/>
  <c r="B741" i="8" s="1"/>
  <c r="C742" i="8"/>
  <c r="B742" i="8" s="1"/>
  <c r="C743" i="8"/>
  <c r="B743" i="8" s="1"/>
  <c r="C744" i="8"/>
  <c r="B744" i="8" s="1"/>
  <c r="C745" i="8"/>
  <c r="B745" i="8" s="1"/>
  <c r="C746" i="8"/>
  <c r="B746" i="8" s="1"/>
  <c r="C747" i="8"/>
  <c r="B747" i="8" s="1"/>
  <c r="C748" i="8"/>
  <c r="B748" i="8" s="1"/>
  <c r="C749" i="8"/>
  <c r="B749" i="8" s="1"/>
  <c r="C750" i="8"/>
  <c r="B750" i="8" s="1"/>
  <c r="C751" i="8"/>
  <c r="B751" i="8" s="1"/>
  <c r="C752" i="8"/>
  <c r="B752" i="8" s="1"/>
  <c r="C753" i="8"/>
  <c r="B753" i="8" s="1"/>
  <c r="C754" i="8"/>
  <c r="B754" i="8" s="1"/>
  <c r="C755" i="8"/>
  <c r="B755" i="8" s="1"/>
  <c r="C756" i="8"/>
  <c r="B756" i="8" s="1"/>
  <c r="C757" i="8"/>
  <c r="B757" i="8" s="1"/>
  <c r="C758" i="8"/>
  <c r="B758" i="8" s="1"/>
  <c r="C759" i="8"/>
  <c r="B759" i="8" s="1"/>
  <c r="C760" i="8"/>
  <c r="B760" i="8" s="1"/>
  <c r="C761" i="8"/>
  <c r="B761" i="8" s="1"/>
  <c r="C762" i="8"/>
  <c r="B762" i="8" s="1"/>
  <c r="C763" i="8"/>
  <c r="B763" i="8" s="1"/>
  <c r="C764" i="8"/>
  <c r="B764" i="8" s="1"/>
  <c r="C765" i="8"/>
  <c r="B765" i="8" s="1"/>
  <c r="C766" i="8"/>
  <c r="B766" i="8" s="1"/>
  <c r="C767" i="8"/>
  <c r="B767" i="8" s="1"/>
  <c r="C768" i="8"/>
  <c r="B768" i="8" s="1"/>
  <c r="C769" i="8"/>
  <c r="B769" i="8" s="1"/>
  <c r="C770" i="8"/>
  <c r="B770" i="8" s="1"/>
  <c r="C771" i="8"/>
  <c r="B771" i="8" s="1"/>
  <c r="C772" i="8"/>
  <c r="B772" i="8" s="1"/>
  <c r="C773" i="8"/>
  <c r="B773" i="8" s="1"/>
  <c r="C774" i="8"/>
  <c r="B774" i="8" s="1"/>
  <c r="C775" i="8"/>
  <c r="B775" i="8" s="1"/>
  <c r="C776" i="8"/>
  <c r="B776" i="8" s="1"/>
  <c r="C777" i="8"/>
  <c r="B777" i="8" s="1"/>
  <c r="C778" i="8"/>
  <c r="B778" i="8" s="1"/>
  <c r="C779" i="8"/>
  <c r="B779" i="8" s="1"/>
  <c r="C780" i="8"/>
  <c r="B780" i="8" s="1"/>
  <c r="C781" i="8"/>
  <c r="B781" i="8" s="1"/>
  <c r="C782" i="8"/>
  <c r="B782" i="8" s="1"/>
  <c r="C783" i="8"/>
  <c r="B783" i="8" s="1"/>
  <c r="C784" i="8"/>
  <c r="B784" i="8" s="1"/>
  <c r="C785" i="8"/>
  <c r="B785" i="8" s="1"/>
  <c r="C786" i="8"/>
  <c r="B786" i="8" s="1"/>
  <c r="C787" i="8"/>
  <c r="B787" i="8" s="1"/>
  <c r="C788" i="8"/>
  <c r="B788" i="8" s="1"/>
  <c r="C789" i="8"/>
  <c r="B789" i="8" s="1"/>
  <c r="C790" i="8"/>
  <c r="B790" i="8" s="1"/>
  <c r="C791" i="8"/>
  <c r="B791" i="8" s="1"/>
  <c r="C792" i="8"/>
  <c r="B792" i="8" s="1"/>
  <c r="C793" i="8"/>
  <c r="B793" i="8" s="1"/>
  <c r="C794" i="8"/>
  <c r="B794" i="8" s="1"/>
  <c r="C795" i="8"/>
  <c r="B795" i="8" s="1"/>
  <c r="C796" i="8"/>
  <c r="B796" i="8" s="1"/>
  <c r="C797" i="8"/>
  <c r="B797" i="8" s="1"/>
  <c r="C798" i="8"/>
  <c r="B798" i="8" s="1"/>
  <c r="C799" i="8"/>
  <c r="B799" i="8" s="1"/>
  <c r="C800" i="8"/>
  <c r="B800" i="8" s="1"/>
  <c r="C801" i="8"/>
  <c r="B801" i="8" s="1"/>
  <c r="C802" i="8"/>
  <c r="B802" i="8" s="1"/>
  <c r="C803" i="8"/>
  <c r="B803" i="8" s="1"/>
  <c r="C804" i="8"/>
  <c r="B804" i="8" s="1"/>
  <c r="C805" i="8"/>
  <c r="B805" i="8" s="1"/>
  <c r="C806" i="8"/>
  <c r="B806" i="8" s="1"/>
  <c r="C807" i="8"/>
  <c r="B807" i="8" s="1"/>
  <c r="C808" i="8"/>
  <c r="B808" i="8" s="1"/>
  <c r="C809" i="8"/>
  <c r="B809" i="8" s="1"/>
  <c r="C810" i="8"/>
  <c r="B810" i="8" s="1"/>
  <c r="C811" i="8"/>
  <c r="B811" i="8" s="1"/>
  <c r="C812" i="8"/>
  <c r="B812" i="8" s="1"/>
  <c r="C813" i="8"/>
  <c r="B813" i="8" s="1"/>
  <c r="C814" i="8"/>
  <c r="B814" i="8" s="1"/>
  <c r="C815" i="8"/>
  <c r="B815" i="8" s="1"/>
  <c r="C816" i="8"/>
  <c r="B816" i="8" s="1"/>
  <c r="C817" i="8"/>
  <c r="B817" i="8" s="1"/>
  <c r="C818" i="8"/>
  <c r="B818" i="8" s="1"/>
  <c r="C819" i="8"/>
  <c r="B819" i="8" s="1"/>
  <c r="C820" i="8"/>
  <c r="B820" i="8" s="1"/>
  <c r="C821" i="8"/>
  <c r="B821" i="8" s="1"/>
  <c r="C822" i="8"/>
  <c r="B822" i="8" s="1"/>
  <c r="C823" i="8"/>
  <c r="B823" i="8" s="1"/>
  <c r="C824" i="8"/>
  <c r="B824" i="8" s="1"/>
  <c r="C825" i="8"/>
  <c r="B825" i="8" s="1"/>
  <c r="C826" i="8"/>
  <c r="B826" i="8" s="1"/>
  <c r="C827" i="8"/>
  <c r="B827" i="8" s="1"/>
  <c r="C828" i="8"/>
  <c r="B828" i="8" s="1"/>
  <c r="C829" i="8"/>
  <c r="B829" i="8" s="1"/>
  <c r="C830" i="8"/>
  <c r="B830" i="8" s="1"/>
  <c r="C831" i="8"/>
  <c r="B831" i="8" s="1"/>
  <c r="C832" i="8"/>
  <c r="B832" i="8" s="1"/>
  <c r="C833" i="8"/>
  <c r="B833" i="8" s="1"/>
  <c r="C834" i="8"/>
  <c r="B834" i="8" s="1"/>
  <c r="C835" i="8"/>
  <c r="B835" i="8" s="1"/>
  <c r="C836" i="8"/>
  <c r="B836" i="8" s="1"/>
  <c r="C837" i="8"/>
  <c r="B837" i="8" s="1"/>
  <c r="C838" i="8"/>
  <c r="B838" i="8" s="1"/>
  <c r="C839" i="8"/>
  <c r="B839" i="8" s="1"/>
  <c r="C840" i="8"/>
  <c r="B840" i="8" s="1"/>
  <c r="C841" i="8"/>
  <c r="B841" i="8" s="1"/>
  <c r="C842" i="8"/>
  <c r="B842" i="8" s="1"/>
  <c r="C843" i="8"/>
  <c r="B843" i="8" s="1"/>
  <c r="C844" i="8"/>
  <c r="B844" i="8" s="1"/>
  <c r="C845" i="8"/>
  <c r="B845" i="8" s="1"/>
  <c r="C846" i="8"/>
  <c r="B846" i="8" s="1"/>
  <c r="C847" i="8"/>
  <c r="B847" i="8" s="1"/>
  <c r="C848" i="8"/>
  <c r="B848" i="8" s="1"/>
  <c r="C849" i="8"/>
  <c r="B849" i="8" s="1"/>
  <c r="C850" i="8"/>
  <c r="B850" i="8" s="1"/>
  <c r="C851" i="8"/>
  <c r="B851" i="8" s="1"/>
  <c r="C852" i="8"/>
  <c r="B852" i="8" s="1"/>
  <c r="C853" i="8"/>
  <c r="B853" i="8" s="1"/>
  <c r="C854" i="8"/>
  <c r="B854" i="8" s="1"/>
  <c r="C855" i="8"/>
  <c r="B855" i="8" s="1"/>
  <c r="C856" i="8"/>
  <c r="B856" i="8" s="1"/>
  <c r="C857" i="8"/>
  <c r="B857" i="8" s="1"/>
  <c r="C858" i="8"/>
  <c r="B858" i="8" s="1"/>
  <c r="C859" i="8"/>
  <c r="B859" i="8" s="1"/>
  <c r="C860" i="8"/>
  <c r="B860" i="8" s="1"/>
  <c r="C861" i="8"/>
  <c r="B861" i="8" s="1"/>
  <c r="C862" i="8"/>
  <c r="B862" i="8" s="1"/>
  <c r="C863" i="8"/>
  <c r="B863" i="8" s="1"/>
  <c r="C864" i="8"/>
  <c r="B864" i="8" s="1"/>
  <c r="C865" i="8"/>
  <c r="B865" i="8" s="1"/>
  <c r="C866" i="8"/>
  <c r="B866" i="8" s="1"/>
  <c r="C867" i="8"/>
  <c r="B867" i="8" s="1"/>
  <c r="C868" i="8"/>
  <c r="B868" i="8" s="1"/>
  <c r="C869" i="8"/>
  <c r="B869" i="8" s="1"/>
  <c r="C870" i="8"/>
  <c r="B870" i="8" s="1"/>
  <c r="C871" i="8"/>
  <c r="B871" i="8" s="1"/>
  <c r="C872" i="8"/>
  <c r="B872" i="8" s="1"/>
  <c r="C873" i="8"/>
  <c r="B873" i="8" s="1"/>
  <c r="C874" i="8"/>
  <c r="B874" i="8" s="1"/>
  <c r="C875" i="8"/>
  <c r="B875" i="8" s="1"/>
  <c r="C876" i="8"/>
  <c r="B876" i="8" s="1"/>
  <c r="C877" i="8"/>
  <c r="B877" i="8" s="1"/>
  <c r="C878" i="8"/>
  <c r="B878" i="8" s="1"/>
  <c r="C879" i="8"/>
  <c r="B879" i="8" s="1"/>
  <c r="C880" i="8"/>
  <c r="B880" i="8" s="1"/>
  <c r="C881" i="8"/>
  <c r="B881" i="8" s="1"/>
  <c r="C882" i="8"/>
  <c r="B882" i="8" s="1"/>
  <c r="C883" i="8"/>
  <c r="B883" i="8" s="1"/>
  <c r="C884" i="8"/>
  <c r="B884" i="8" s="1"/>
  <c r="C885" i="8"/>
  <c r="B885" i="8" s="1"/>
  <c r="C886" i="8"/>
  <c r="B886" i="8" s="1"/>
  <c r="C887" i="8"/>
  <c r="B887" i="8" s="1"/>
  <c r="C888" i="8"/>
  <c r="B888" i="8" s="1"/>
  <c r="C889" i="8"/>
  <c r="B889" i="8" s="1"/>
  <c r="C890" i="8"/>
  <c r="B890" i="8" s="1"/>
  <c r="C891" i="8"/>
  <c r="B891" i="8" s="1"/>
  <c r="C892" i="8"/>
  <c r="B892" i="8" s="1"/>
  <c r="C893" i="8"/>
  <c r="B893" i="8" s="1"/>
  <c r="C894" i="8"/>
  <c r="B894" i="8" s="1"/>
  <c r="C895" i="8"/>
  <c r="B895" i="8" s="1"/>
  <c r="C896" i="8"/>
  <c r="B896" i="8" s="1"/>
  <c r="C897" i="8"/>
  <c r="B897" i="8" s="1"/>
  <c r="C898" i="8"/>
  <c r="B898" i="8" s="1"/>
  <c r="C899" i="8"/>
  <c r="B899" i="8" s="1"/>
  <c r="C900" i="8"/>
  <c r="B900" i="8" s="1"/>
  <c r="C901" i="8"/>
  <c r="B901" i="8" s="1"/>
  <c r="C902" i="8"/>
  <c r="B902" i="8" s="1"/>
  <c r="C903" i="8"/>
  <c r="B903" i="8" s="1"/>
  <c r="C904" i="8"/>
  <c r="B904" i="8" s="1"/>
  <c r="C905" i="8"/>
  <c r="B905" i="8" s="1"/>
  <c r="C906" i="8"/>
  <c r="B906" i="8" s="1"/>
  <c r="C907" i="8"/>
  <c r="B907" i="8" s="1"/>
  <c r="C908" i="8"/>
  <c r="B908" i="8" s="1"/>
  <c r="C909" i="8"/>
  <c r="B909" i="8" s="1"/>
  <c r="C910" i="8"/>
  <c r="B910" i="8" s="1"/>
  <c r="C911" i="8"/>
  <c r="B911" i="8" s="1"/>
  <c r="C912" i="8"/>
  <c r="B912" i="8" s="1"/>
  <c r="C913" i="8"/>
  <c r="B913" i="8" s="1"/>
  <c r="C914" i="8"/>
  <c r="B914" i="8" s="1"/>
  <c r="C915" i="8"/>
  <c r="B915" i="8" s="1"/>
  <c r="C916" i="8"/>
  <c r="B916" i="8" s="1"/>
  <c r="C917" i="8"/>
  <c r="B917" i="8" s="1"/>
  <c r="C918" i="8"/>
  <c r="B918" i="8" s="1"/>
  <c r="C919" i="8"/>
  <c r="B919" i="8" s="1"/>
  <c r="C920" i="8"/>
  <c r="B920" i="8" s="1"/>
  <c r="C921" i="8"/>
  <c r="B921" i="8" s="1"/>
  <c r="C922" i="8"/>
  <c r="B922" i="8" s="1"/>
  <c r="C923" i="8"/>
  <c r="B923" i="8" s="1"/>
  <c r="C924" i="8"/>
  <c r="B924" i="8" s="1"/>
  <c r="C925" i="8"/>
  <c r="B925" i="8" s="1"/>
  <c r="C926" i="8"/>
  <c r="B926" i="8" s="1"/>
  <c r="C927" i="8"/>
  <c r="B927" i="8" s="1"/>
  <c r="C928" i="8"/>
  <c r="B928" i="8" s="1"/>
  <c r="C929" i="8"/>
  <c r="B929" i="8" s="1"/>
  <c r="C930" i="8"/>
  <c r="B930" i="8" s="1"/>
  <c r="C931" i="8"/>
  <c r="B931" i="8" s="1"/>
  <c r="C932" i="8"/>
  <c r="B932" i="8" s="1"/>
  <c r="C933" i="8"/>
  <c r="B933" i="8" s="1"/>
  <c r="C934" i="8"/>
  <c r="B934" i="8" s="1"/>
  <c r="C935" i="8"/>
  <c r="B935" i="8" s="1"/>
  <c r="C936" i="8"/>
  <c r="B936" i="8" s="1"/>
  <c r="C937" i="8"/>
  <c r="B937" i="8" s="1"/>
  <c r="C938" i="8"/>
  <c r="B938" i="8" s="1"/>
  <c r="C939" i="8"/>
  <c r="B939" i="8" s="1"/>
  <c r="C940" i="8"/>
  <c r="B940" i="8" s="1"/>
  <c r="C941" i="8"/>
  <c r="B941" i="8" s="1"/>
  <c r="C942" i="8"/>
  <c r="B942" i="8" s="1"/>
  <c r="C943" i="8"/>
  <c r="B943" i="8" s="1"/>
  <c r="C944" i="8"/>
  <c r="B944" i="8" s="1"/>
  <c r="C945" i="8"/>
  <c r="B945" i="8" s="1"/>
  <c r="C946" i="8"/>
  <c r="B946" i="8" s="1"/>
  <c r="C947" i="8"/>
  <c r="B947" i="8" s="1"/>
  <c r="C948" i="8"/>
  <c r="B948" i="8" s="1"/>
  <c r="C949" i="8"/>
  <c r="B949" i="8" s="1"/>
  <c r="C950" i="8"/>
  <c r="B950" i="8" s="1"/>
  <c r="C951" i="8"/>
  <c r="B951" i="8" s="1"/>
  <c r="C952" i="8"/>
  <c r="B952" i="8" s="1"/>
  <c r="C953" i="8"/>
  <c r="B953" i="8" s="1"/>
  <c r="C954" i="8"/>
  <c r="B954" i="8" s="1"/>
  <c r="C955" i="8"/>
  <c r="B955" i="8" s="1"/>
  <c r="C956" i="8"/>
  <c r="B956" i="8" s="1"/>
  <c r="C957" i="8"/>
  <c r="B957" i="8" s="1"/>
  <c r="C958" i="8"/>
  <c r="B958" i="8" s="1"/>
  <c r="C959" i="8"/>
  <c r="B959" i="8" s="1"/>
  <c r="C960" i="8"/>
  <c r="B960" i="8" s="1"/>
  <c r="C961" i="8"/>
  <c r="B961" i="8" s="1"/>
  <c r="C962" i="8"/>
  <c r="B962" i="8" s="1"/>
  <c r="C963" i="8"/>
  <c r="B963" i="8" s="1"/>
  <c r="C964" i="8"/>
  <c r="B964" i="8" s="1"/>
  <c r="C965" i="8"/>
  <c r="B965" i="8" s="1"/>
  <c r="C966" i="8"/>
  <c r="B966" i="8" s="1"/>
  <c r="C967" i="8"/>
  <c r="B967" i="8" s="1"/>
  <c r="C968" i="8"/>
  <c r="B968" i="8" s="1"/>
  <c r="C969" i="8"/>
  <c r="B969" i="8" s="1"/>
  <c r="C970" i="8"/>
  <c r="B970" i="8" s="1"/>
  <c r="C971" i="8"/>
  <c r="B971" i="8" s="1"/>
  <c r="C972" i="8"/>
  <c r="B972" i="8" s="1"/>
  <c r="C973" i="8"/>
  <c r="B973" i="8" s="1"/>
  <c r="C974" i="8"/>
  <c r="B974" i="8" s="1"/>
  <c r="C975" i="8"/>
  <c r="B975" i="8" s="1"/>
  <c r="C976" i="8"/>
  <c r="B976" i="8" s="1"/>
  <c r="C977" i="8"/>
  <c r="B977" i="8" s="1"/>
  <c r="C978" i="8"/>
  <c r="B978" i="8" s="1"/>
  <c r="C979" i="8"/>
  <c r="B979" i="8" s="1"/>
  <c r="C980" i="8"/>
  <c r="B980" i="8" s="1"/>
  <c r="C981" i="8"/>
  <c r="B981" i="8" s="1"/>
  <c r="C982" i="8"/>
  <c r="B982" i="8" s="1"/>
  <c r="C983" i="8"/>
  <c r="B983" i="8" s="1"/>
  <c r="C984" i="8"/>
  <c r="B984" i="8" s="1"/>
  <c r="C985" i="8"/>
  <c r="B985" i="8" s="1"/>
  <c r="C986" i="8"/>
  <c r="B986" i="8" s="1"/>
  <c r="C987" i="8"/>
  <c r="B987" i="8" s="1"/>
  <c r="C988" i="8"/>
  <c r="B988" i="8" s="1"/>
  <c r="C989" i="8"/>
  <c r="B989" i="8" s="1"/>
  <c r="C990" i="8"/>
  <c r="B990" i="8" s="1"/>
  <c r="C991" i="8"/>
  <c r="B991" i="8" s="1"/>
  <c r="C992" i="8"/>
  <c r="B992" i="8" s="1"/>
  <c r="C993" i="8"/>
  <c r="B993" i="8" s="1"/>
  <c r="C994" i="8"/>
  <c r="B994" i="8" s="1"/>
  <c r="C995" i="8"/>
  <c r="B995" i="8" s="1"/>
  <c r="C996" i="8"/>
  <c r="B996" i="8" s="1"/>
  <c r="C997" i="8"/>
  <c r="B997" i="8" s="1"/>
  <c r="C998" i="8"/>
  <c r="B998" i="8" s="1"/>
  <c r="C999" i="8"/>
  <c r="B999" i="8" s="1"/>
  <c r="C1000" i="8"/>
  <c r="B1000" i="8" s="1"/>
  <c r="C1001" i="8"/>
  <c r="B1001" i="8" s="1"/>
  <c r="C1002" i="8"/>
  <c r="B1002" i="8" s="1"/>
  <c r="C1003" i="8"/>
  <c r="B1003" i="8" s="1"/>
  <c r="C1004" i="8"/>
  <c r="B1004" i="8" s="1"/>
  <c r="C1005" i="8"/>
  <c r="B1005" i="8" s="1"/>
  <c r="C1006" i="8"/>
  <c r="B1006" i="8" s="1"/>
  <c r="C1007" i="8"/>
  <c r="B1007" i="8" s="1"/>
  <c r="C1008" i="8"/>
  <c r="B1008" i="8" s="1"/>
  <c r="C1009" i="8"/>
  <c r="B1009" i="8" s="1"/>
  <c r="C1010" i="8"/>
  <c r="B1010" i="8" s="1"/>
  <c r="C1011" i="8"/>
  <c r="B1011" i="8" s="1"/>
  <c r="C1012" i="8"/>
  <c r="B1012" i="8" s="1"/>
  <c r="C1013" i="8"/>
  <c r="B1013" i="8" s="1"/>
  <c r="C1014" i="8"/>
  <c r="B1014" i="8" s="1"/>
  <c r="C1015" i="8"/>
  <c r="B1015" i="8" s="1"/>
  <c r="C1016" i="8"/>
  <c r="B1016" i="8" s="1"/>
  <c r="C1017" i="8"/>
  <c r="B1017" i="8" s="1"/>
  <c r="C1018" i="8"/>
  <c r="B1018" i="8" s="1"/>
  <c r="C1019" i="8"/>
  <c r="B1019" i="8" s="1"/>
  <c r="C1020" i="8"/>
  <c r="B1020" i="8" s="1"/>
  <c r="C1021" i="8"/>
  <c r="B1021" i="8" s="1"/>
  <c r="C1022" i="8"/>
  <c r="B1022" i="8" s="1"/>
  <c r="C1023" i="8"/>
  <c r="B1023" i="8" s="1"/>
  <c r="C1024" i="8"/>
  <c r="B1024" i="8" s="1"/>
  <c r="C1025" i="8"/>
  <c r="B1025" i="8" s="1"/>
  <c r="C1026" i="8"/>
  <c r="B1026" i="8" s="1"/>
  <c r="C1027" i="8"/>
  <c r="B1027" i="8" s="1"/>
  <c r="C1028" i="8"/>
  <c r="B1028" i="8" s="1"/>
  <c r="C1029" i="8"/>
  <c r="B1029" i="8" s="1"/>
  <c r="C1030" i="8"/>
  <c r="B1030" i="8" s="1"/>
  <c r="C1031" i="8"/>
  <c r="B1031" i="8" s="1"/>
  <c r="C1032" i="8"/>
  <c r="B1032" i="8" s="1"/>
  <c r="C1033" i="8"/>
  <c r="B1033" i="8" s="1"/>
  <c r="C1034" i="8"/>
  <c r="B1034" i="8" s="1"/>
  <c r="C1035" i="8"/>
  <c r="B1035" i="8" s="1"/>
  <c r="C1036" i="8"/>
  <c r="B1036" i="8" s="1"/>
  <c r="C1037" i="8"/>
  <c r="B1037" i="8" s="1"/>
  <c r="C1038" i="8"/>
  <c r="B1038" i="8" s="1"/>
  <c r="C1039" i="8"/>
  <c r="B1039" i="8" s="1"/>
  <c r="C1040" i="8"/>
  <c r="B1040" i="8" s="1"/>
  <c r="C1041" i="8"/>
  <c r="B1041" i="8" s="1"/>
  <c r="C1042" i="8"/>
  <c r="B1042" i="8" s="1"/>
  <c r="C1043" i="8"/>
  <c r="B1043" i="8" s="1"/>
  <c r="C1044" i="8"/>
  <c r="B1044" i="8" s="1"/>
  <c r="C1045" i="8"/>
  <c r="B1045" i="8" s="1"/>
  <c r="C1046" i="8"/>
  <c r="B1046" i="8" s="1"/>
  <c r="C1047" i="8"/>
  <c r="B1047" i="8" s="1"/>
  <c r="C1048" i="8"/>
  <c r="B1048" i="8" s="1"/>
  <c r="C1049" i="8"/>
  <c r="B1049" i="8" s="1"/>
  <c r="C1050" i="8"/>
  <c r="B1050" i="8" s="1"/>
  <c r="C1051" i="8"/>
  <c r="B1051" i="8" s="1"/>
  <c r="C1052" i="8"/>
  <c r="B1052" i="8" s="1"/>
  <c r="C1053" i="8"/>
  <c r="B1053" i="8" s="1"/>
  <c r="C1054" i="8"/>
  <c r="B1054" i="8" s="1"/>
  <c r="C1055" i="8"/>
  <c r="B1055" i="8" s="1"/>
  <c r="C1056" i="8"/>
  <c r="B1056" i="8" s="1"/>
  <c r="C1057" i="8"/>
  <c r="B1057" i="8" s="1"/>
  <c r="C1058" i="8"/>
  <c r="B1058" i="8" s="1"/>
  <c r="C1059" i="8"/>
  <c r="B1059" i="8" s="1"/>
  <c r="C1060" i="8"/>
  <c r="B1060" i="8" s="1"/>
  <c r="C1061" i="8"/>
  <c r="B1061" i="8" s="1"/>
  <c r="C1062" i="8"/>
  <c r="B1062" i="8" s="1"/>
  <c r="C1063" i="8"/>
  <c r="B1063" i="8" s="1"/>
  <c r="C1064" i="8"/>
  <c r="B1064" i="8" s="1"/>
  <c r="C1065" i="8"/>
  <c r="B1065" i="8" s="1"/>
  <c r="C1066" i="8"/>
  <c r="B1066" i="8" s="1"/>
  <c r="C1067" i="8"/>
  <c r="B1067" i="8" s="1"/>
  <c r="C1068" i="8"/>
  <c r="B1068" i="8" s="1"/>
  <c r="C1069" i="8"/>
  <c r="B1069" i="8" s="1"/>
  <c r="C1070" i="8"/>
  <c r="B1070" i="8" s="1"/>
  <c r="C1071" i="8"/>
  <c r="B1071" i="8" s="1"/>
  <c r="C1072" i="8"/>
  <c r="B1072" i="8" s="1"/>
  <c r="C1073" i="8"/>
  <c r="B1073" i="8" s="1"/>
  <c r="C1074" i="8"/>
  <c r="B1074" i="8" s="1"/>
  <c r="C1075" i="8"/>
  <c r="B1075" i="8" s="1"/>
  <c r="C1076" i="8"/>
  <c r="B1076" i="8" s="1"/>
  <c r="C1077" i="8"/>
  <c r="B1077" i="8" s="1"/>
  <c r="C1078" i="8"/>
  <c r="B1078" i="8" s="1"/>
  <c r="C1079" i="8"/>
  <c r="B1079" i="8" s="1"/>
  <c r="C1080" i="8"/>
  <c r="B1080" i="8" s="1"/>
  <c r="C1081" i="8"/>
  <c r="B1081" i="8" s="1"/>
  <c r="C1082" i="8"/>
  <c r="B1082" i="8" s="1"/>
  <c r="C1083" i="8"/>
  <c r="B1083" i="8" s="1"/>
  <c r="C1084" i="8"/>
  <c r="B1084" i="8" s="1"/>
  <c r="C1085" i="8"/>
  <c r="B1085" i="8" s="1"/>
  <c r="C1086" i="8"/>
  <c r="B1086" i="8" s="1"/>
  <c r="C1087" i="8"/>
  <c r="B1087" i="8" s="1"/>
  <c r="C1088" i="8"/>
  <c r="B1088" i="8" s="1"/>
  <c r="C1089" i="8"/>
  <c r="B1089" i="8" s="1"/>
  <c r="C1090" i="8"/>
  <c r="B1090" i="8" s="1"/>
  <c r="C1091" i="8"/>
  <c r="B1091" i="8" s="1"/>
  <c r="C1092" i="8"/>
  <c r="B1092" i="8" s="1"/>
  <c r="C1093" i="8"/>
  <c r="B1093" i="8" s="1"/>
  <c r="C1094" i="8"/>
  <c r="B1094" i="8" s="1"/>
  <c r="C1095" i="8"/>
  <c r="B1095" i="8" s="1"/>
  <c r="C1096" i="8"/>
  <c r="B1096" i="8" s="1"/>
  <c r="C1097" i="8"/>
  <c r="B1097" i="8" s="1"/>
  <c r="C1098" i="8"/>
  <c r="B1098" i="8" s="1"/>
  <c r="C1099" i="8"/>
  <c r="B1099" i="8" s="1"/>
  <c r="C1100" i="8"/>
  <c r="B1100" i="8" s="1"/>
  <c r="C1101" i="8"/>
  <c r="B1101" i="8" s="1"/>
  <c r="C1102" i="8"/>
  <c r="B1102" i="8" s="1"/>
  <c r="C1103" i="8"/>
  <c r="B1103" i="8" s="1"/>
  <c r="C1104" i="8"/>
  <c r="B1104" i="8" s="1"/>
  <c r="C1105" i="8"/>
  <c r="B1105" i="8" s="1"/>
  <c r="C1106" i="8"/>
  <c r="B1106" i="8" s="1"/>
  <c r="C1107" i="8"/>
  <c r="B1107" i="8" s="1"/>
  <c r="C1108" i="8"/>
  <c r="B1108" i="8" s="1"/>
  <c r="C1109" i="8"/>
  <c r="B1109" i="8" s="1"/>
  <c r="C1110" i="8"/>
  <c r="B1110" i="8" s="1"/>
  <c r="C1111" i="8"/>
  <c r="B1111" i="8" s="1"/>
  <c r="C1112" i="8"/>
  <c r="B1112" i="8" s="1"/>
  <c r="C1113" i="8"/>
  <c r="B1113" i="8" s="1"/>
  <c r="C1114" i="8"/>
  <c r="B1114" i="8" s="1"/>
  <c r="C1115" i="8"/>
  <c r="B1115" i="8" s="1"/>
  <c r="C1116" i="8"/>
  <c r="B1116" i="8" s="1"/>
  <c r="C1117" i="8"/>
  <c r="B1117" i="8" s="1"/>
  <c r="C1118" i="8"/>
  <c r="B1118" i="8" s="1"/>
  <c r="C1119" i="8"/>
  <c r="B1119" i="8" s="1"/>
  <c r="C1120" i="8"/>
  <c r="B1120" i="8" s="1"/>
  <c r="C1121" i="8"/>
  <c r="B1121" i="8" s="1"/>
  <c r="C1122" i="8"/>
  <c r="B1122" i="8" s="1"/>
  <c r="C1123" i="8"/>
  <c r="B1123" i="8" s="1"/>
  <c r="C1124" i="8"/>
  <c r="B1124" i="8" s="1"/>
  <c r="C1125" i="8"/>
  <c r="B1125" i="8" s="1"/>
  <c r="C1126" i="8"/>
  <c r="B1126" i="8" s="1"/>
  <c r="C1127" i="8"/>
  <c r="B1127" i="8" s="1"/>
  <c r="C1128" i="8"/>
  <c r="B1128" i="8" s="1"/>
  <c r="C1129" i="8"/>
  <c r="B1129" i="8" s="1"/>
  <c r="C1130" i="8"/>
  <c r="B1130" i="8" s="1"/>
  <c r="C1131" i="8"/>
  <c r="B1131" i="8" s="1"/>
  <c r="C1132" i="8"/>
  <c r="B1132" i="8" s="1"/>
  <c r="C1133" i="8"/>
  <c r="B1133" i="8" s="1"/>
  <c r="C1134" i="8"/>
  <c r="B1134" i="8" s="1"/>
  <c r="C1135" i="8"/>
  <c r="B1135" i="8" s="1"/>
  <c r="C1136" i="8"/>
  <c r="B1136" i="8" s="1"/>
  <c r="C1137" i="8"/>
  <c r="B1137" i="8" s="1"/>
  <c r="C1138" i="8"/>
  <c r="B1138" i="8" s="1"/>
  <c r="C1139" i="8"/>
  <c r="B1139" i="8" s="1"/>
  <c r="C1140" i="8"/>
  <c r="B1140" i="8" s="1"/>
  <c r="C1141" i="8"/>
  <c r="B1141" i="8" s="1"/>
  <c r="C1142" i="8"/>
  <c r="B1142" i="8" s="1"/>
  <c r="C1143" i="8"/>
  <c r="B1143" i="8" s="1"/>
  <c r="C1144" i="8"/>
  <c r="B1144" i="8" s="1"/>
  <c r="C1145" i="8"/>
  <c r="B1145" i="8" s="1"/>
  <c r="C1146" i="8"/>
  <c r="B1146" i="8" s="1"/>
  <c r="C1147" i="8"/>
  <c r="B1147" i="8" s="1"/>
  <c r="C1148" i="8"/>
  <c r="B1148" i="8" s="1"/>
  <c r="C1149" i="8"/>
  <c r="B1149" i="8" s="1"/>
  <c r="C1150" i="8"/>
  <c r="B1150" i="8" s="1"/>
  <c r="C1151" i="8"/>
  <c r="B1151" i="8" s="1"/>
  <c r="C1152" i="8"/>
  <c r="B1152" i="8" s="1"/>
  <c r="C1153" i="8"/>
  <c r="B1153" i="8" s="1"/>
  <c r="C1154" i="8"/>
  <c r="B1154" i="8" s="1"/>
  <c r="C1155" i="8"/>
  <c r="B1155" i="8" s="1"/>
  <c r="C1156" i="8"/>
  <c r="B1156" i="8" s="1"/>
  <c r="C1157" i="8"/>
  <c r="B1157" i="8" s="1"/>
  <c r="C1158" i="8"/>
  <c r="B1158" i="8" s="1"/>
  <c r="C1159" i="8"/>
  <c r="B1159" i="8" s="1"/>
  <c r="C1160" i="8"/>
  <c r="B1160" i="8" s="1"/>
  <c r="C1161" i="8"/>
  <c r="B1161" i="8" s="1"/>
  <c r="C1162" i="8"/>
  <c r="B1162" i="8" s="1"/>
  <c r="C1163" i="8"/>
  <c r="B1163" i="8" s="1"/>
  <c r="C1164" i="8"/>
  <c r="B1164" i="8" s="1"/>
  <c r="C1165" i="8"/>
  <c r="B1165" i="8" s="1"/>
  <c r="C1166" i="8"/>
  <c r="B1166" i="8" s="1"/>
  <c r="C1167" i="8"/>
  <c r="B1167" i="8" s="1"/>
  <c r="C1168" i="8"/>
  <c r="B1168" i="8" s="1"/>
  <c r="C1169" i="8"/>
  <c r="B1169" i="8" s="1"/>
  <c r="C1170" i="8"/>
  <c r="B1170" i="8" s="1"/>
  <c r="C1171" i="8"/>
  <c r="B1171" i="8" s="1"/>
  <c r="C1172" i="8"/>
  <c r="B1172" i="8" s="1"/>
  <c r="C1173" i="8"/>
  <c r="B1173" i="8" s="1"/>
  <c r="C1174" i="8"/>
  <c r="B1174" i="8" s="1"/>
  <c r="C1175" i="8"/>
  <c r="B1175" i="8" s="1"/>
  <c r="C1176" i="8"/>
  <c r="B1176" i="8" s="1"/>
  <c r="C1177" i="8"/>
  <c r="B1177" i="8" s="1"/>
  <c r="C1178" i="8"/>
  <c r="B1178" i="8" s="1"/>
  <c r="C1179" i="8"/>
  <c r="B1179" i="8" s="1"/>
  <c r="C1180" i="8"/>
  <c r="B1180" i="8" s="1"/>
  <c r="C1181" i="8"/>
  <c r="B1181" i="8" s="1"/>
  <c r="C1182" i="8"/>
  <c r="B1182" i="8" s="1"/>
  <c r="C1183" i="8"/>
  <c r="B1183" i="8" s="1"/>
  <c r="C1184" i="8"/>
  <c r="B1184" i="8" s="1"/>
  <c r="C1185" i="8"/>
  <c r="B1185" i="8" s="1"/>
  <c r="C1186" i="8"/>
  <c r="B1186" i="8" s="1"/>
  <c r="C1187" i="8"/>
  <c r="B1187" i="8" s="1"/>
  <c r="C1188" i="8"/>
  <c r="B1188" i="8" s="1"/>
  <c r="C1189" i="8"/>
  <c r="B1189" i="8" s="1"/>
  <c r="C1190" i="8"/>
  <c r="B1190" i="8" s="1"/>
  <c r="C1191" i="8"/>
  <c r="B1191" i="8" s="1"/>
  <c r="C1192" i="8"/>
  <c r="B1192" i="8" s="1"/>
  <c r="C1193" i="8"/>
  <c r="B1193" i="8" s="1"/>
  <c r="C1194" i="8"/>
  <c r="B1194" i="8" s="1"/>
  <c r="C1195" i="8"/>
  <c r="B1195" i="8" s="1"/>
  <c r="C1196" i="8"/>
  <c r="B1196" i="8" s="1"/>
  <c r="C1197" i="8"/>
  <c r="B1197" i="8" s="1"/>
  <c r="C1198" i="8"/>
  <c r="B1198" i="8" s="1"/>
  <c r="C1199" i="8"/>
  <c r="B1199" i="8" s="1"/>
  <c r="C1200" i="8"/>
  <c r="B1200" i="8" s="1"/>
  <c r="C1201" i="8"/>
  <c r="B1201" i="8" s="1"/>
  <c r="C1202" i="8"/>
  <c r="B1202" i="8" s="1"/>
  <c r="C1203" i="8"/>
  <c r="B1203" i="8" s="1"/>
  <c r="C1204" i="8"/>
  <c r="B1204" i="8" s="1"/>
  <c r="C1205" i="8"/>
  <c r="B1205" i="8" s="1"/>
  <c r="C1206" i="8"/>
  <c r="B1206" i="8" s="1"/>
  <c r="C1207" i="8"/>
  <c r="B1207" i="8" s="1"/>
  <c r="C1208" i="8"/>
  <c r="B1208" i="8" s="1"/>
  <c r="C1209" i="8"/>
  <c r="B1209" i="8" s="1"/>
  <c r="C1210" i="8"/>
  <c r="B1210" i="8" s="1"/>
  <c r="C1211" i="8"/>
  <c r="B1211" i="8" s="1"/>
  <c r="C1212" i="8"/>
  <c r="B1212" i="8" s="1"/>
  <c r="C1213" i="8"/>
  <c r="B1213" i="8" s="1"/>
  <c r="C1214" i="8"/>
  <c r="B1214" i="8" s="1"/>
  <c r="C1215" i="8"/>
  <c r="B1215" i="8" s="1"/>
  <c r="C1216" i="8"/>
  <c r="B1216" i="8" s="1"/>
  <c r="C1217" i="8"/>
  <c r="B1217" i="8" s="1"/>
  <c r="C1218" i="8"/>
  <c r="B1218" i="8" s="1"/>
  <c r="C1219" i="8"/>
  <c r="B1219" i="8" s="1"/>
  <c r="C1220" i="8"/>
  <c r="B1220" i="8" s="1"/>
  <c r="C1221" i="8"/>
  <c r="B1221" i="8" s="1"/>
  <c r="C1222" i="8"/>
  <c r="B1222" i="8" s="1"/>
  <c r="C1223" i="8"/>
  <c r="B1223" i="8" s="1"/>
  <c r="C1224" i="8"/>
  <c r="B1224" i="8" s="1"/>
  <c r="C1225" i="8"/>
  <c r="B1225" i="8" s="1"/>
  <c r="C1226" i="8"/>
  <c r="B1226" i="8" s="1"/>
  <c r="C1227" i="8"/>
  <c r="B1227" i="8" s="1"/>
  <c r="C1228" i="8"/>
  <c r="B1228" i="8" s="1"/>
  <c r="C1229" i="8"/>
  <c r="B1229" i="8" s="1"/>
  <c r="C1230" i="8"/>
  <c r="B1230" i="8" s="1"/>
  <c r="C1231" i="8"/>
  <c r="B1231" i="8" s="1"/>
  <c r="C1232" i="8"/>
  <c r="B1232" i="8" s="1"/>
  <c r="C1233" i="8"/>
  <c r="B1233" i="8" s="1"/>
  <c r="C4" i="8"/>
  <c r="B4" i="8" s="1"/>
  <c r="B84" i="8"/>
  <c r="D4" i="8"/>
  <c r="H12" i="7"/>
  <c r="J12" i="7"/>
  <c r="G12" i="7"/>
  <c r="K12" i="7" l="1"/>
</calcChain>
</file>

<file path=xl/sharedStrings.xml><?xml version="1.0" encoding="utf-8"?>
<sst xmlns="http://schemas.openxmlformats.org/spreadsheetml/2006/main" count="4219" uniqueCount="261">
  <si>
    <t>No</t>
  </si>
  <si>
    <t>Acc</t>
  </si>
  <si>
    <t>Process</t>
  </si>
  <si>
    <t>Project</t>
  </si>
  <si>
    <t>Problem Statement</t>
  </si>
  <si>
    <t>Proposed Soln</t>
  </si>
  <si>
    <t>Benefits</t>
  </si>
  <si>
    <t>Intake &amp; Clinical</t>
  </si>
  <si>
    <t>Volume Forecasting &amp; Staffing Optimization Model</t>
  </si>
  <si>
    <t>Current workforce planning processes rely heavily on historical trendsw and manual calculations to determine staffing needs. There is no predictive model that forecasts future workload demand and automatically translates projected volumes into staffinng requirements. This limits the organization's ability to proactively address capacity gaps, anticipate volume spikes, and make informed staffing decisions.</t>
  </si>
  <si>
    <t xml:space="preserve">Develop a Volume Forecasting &amp; Staffing Optimization Model that analyzes historical operational data and predicts future workload demand while calculating the staffing levels required to achieve service, productivity, and turnaround-time targets.
The model will analyze:
- Historical Volumes
- Seasonal trends
- Day-of-week patterns
- monthly and quarterly trends
- Productivity rates (CPD, AHT, etc.)
- Schedule adherence 
- Backlog inventroy levels
</t>
  </si>
  <si>
    <t>Operational Benefits
- Improves workforce planning accuracy. 
- Reduces reactive staffing decisions.
- Minimizes backlog and capacity shortages.
- Improves service-level attainment.
Financial Benefits
-optimizes labor costs.
- Reduces unnecessary overtime
- Prevents overstaffing and underutilization.</t>
  </si>
  <si>
    <t xml:space="preserve">for now everything is in excel </t>
  </si>
  <si>
    <t>download historical data, volumes, what are the targets, formulas being used</t>
  </si>
  <si>
    <t>everthing is in excel</t>
  </si>
  <si>
    <t>can we have something</t>
  </si>
  <si>
    <t xml:space="preserve">proposed what staffing model we would we want </t>
  </si>
  <si>
    <t xml:space="preserve">how much staff we would be need </t>
  </si>
  <si>
    <t xml:space="preserve">what staffing model we use, what staffing model we want </t>
  </si>
  <si>
    <t>there are volume fluctuations</t>
  </si>
  <si>
    <t xml:space="preserve">an interface - 
whatever required need to input / checks
whatever neeed to calculate
do some calculation
</t>
  </si>
  <si>
    <t>the amount of staff we need
-depending on the volumes
- the amount of work that is given to us with client</t>
  </si>
  <si>
    <t>build in exl level - tool (POC)</t>
  </si>
  <si>
    <t>Data model</t>
  </si>
  <si>
    <r>
      <rPr>
        <sz val="11"/>
        <color rgb="FFFF0000"/>
        <rFont val="Calibri"/>
        <family val="2"/>
        <scheme val="minor"/>
      </rPr>
      <t>the alert / prompt</t>
    </r>
    <r>
      <rPr>
        <sz val="11"/>
        <color theme="1"/>
        <rFont val="Calibri"/>
        <family val="2"/>
        <scheme val="minor"/>
      </rPr>
      <t xml:space="preserve"> -- "the volume is than your team capacity, we would not be able to make it with the day we need to do some overtime"</t>
    </r>
  </si>
  <si>
    <t>basicaly what we need /output we required</t>
  </si>
  <si>
    <t>now what we do</t>
  </si>
  <si>
    <t>etc</t>
  </si>
  <si>
    <t>LOB</t>
  </si>
  <si>
    <t>SubLOB</t>
  </si>
  <si>
    <t>Intake</t>
  </si>
  <si>
    <t>Commercial and Medicare Triage 1</t>
  </si>
  <si>
    <t>UM (Utilization Management)</t>
  </si>
  <si>
    <t>support</t>
  </si>
  <si>
    <t>Healthcare Insurance account</t>
  </si>
  <si>
    <t>FAX portal and provider portal</t>
  </si>
  <si>
    <t>from</t>
  </si>
  <si>
    <t>to load</t>
  </si>
  <si>
    <t>into another application -- Wcross environment</t>
  </si>
  <si>
    <t>Commercial and Medicare Triage 2 - Inpatient</t>
  </si>
  <si>
    <t>Commercial and Medicare Triage 3 - Outpatient</t>
  </si>
  <si>
    <t>Communications</t>
  </si>
  <si>
    <t>Medicaid Hybrid Navigator</t>
  </si>
  <si>
    <t>Medicaid L1</t>
  </si>
  <si>
    <t>Medicaid L2</t>
  </si>
  <si>
    <t>Commercial and Medicare Retrospective (Claims) - INSINQ</t>
  </si>
  <si>
    <t>Commercial and Medicare Retrospective (Claims) - OCWA</t>
  </si>
  <si>
    <t>Commercial and Medicare Retrospective (Claims) - Predictal</t>
  </si>
  <si>
    <t>Clinical</t>
  </si>
  <si>
    <t>Commercial IP-PAC</t>
  </si>
  <si>
    <t>Commercial OP-DME/Sleep</t>
  </si>
  <si>
    <t>Commercial OP-Other</t>
  </si>
  <si>
    <t>Medicare IP-PAC</t>
  </si>
  <si>
    <t>Medicare OP-DME/Sleep</t>
  </si>
  <si>
    <t>Medicare OP-Other</t>
  </si>
  <si>
    <t>Medicaid IP</t>
  </si>
  <si>
    <t>Medicaid OP</t>
  </si>
  <si>
    <t>intake team</t>
  </si>
  <si>
    <t>non clinical - BPO</t>
  </si>
  <si>
    <t>no need the licensed people</t>
  </si>
  <si>
    <t>for ex</t>
  </si>
  <si>
    <t>health card --&gt; hospital --&gt; coverage/benefit verified --&gt;(Blue cross) insurance company confirms --&gt; particular procedure  --&gt; provide approval</t>
  </si>
  <si>
    <t>similar with insurance companies as well</t>
  </si>
  <si>
    <t>intake team handle all the incoming requests</t>
  </si>
  <si>
    <t>whenever a person/patient require medical service -- the provider/hospital/facility --&gt; sent the request a form through portal --&gt; request for authorization</t>
  </si>
  <si>
    <r>
      <rPr>
        <b/>
        <sz val="11"/>
        <color theme="1"/>
        <rFont val="Calibri"/>
        <family val="2"/>
        <scheme val="minor"/>
      </rPr>
      <t xml:space="preserve">work of intake team </t>
    </r>
    <r>
      <rPr>
        <sz val="11"/>
        <color theme="1"/>
        <rFont val="Calibri"/>
        <family val="2"/>
        <scheme val="minor"/>
      </rPr>
      <t xml:space="preserve">
validate/review the records,
what is the request
what is the procedure,
when it will be done - patient chart /clinical record</t>
    </r>
  </si>
  <si>
    <t>Once validated by intake team--&gt;
intake team load those information to the actual system for further processing
DIFFERENT SOFTWARE/PORTAL</t>
  </si>
  <si>
    <t>work flowof intake
 ====&gt;</t>
  </si>
  <si>
    <t>review/eligible --pass to l2</t>
  </si>
  <si>
    <t>L1 - does the review/eligible --pass to l2</t>
  </si>
  <si>
    <t>L2- manually load into the system</t>
  </si>
  <si>
    <t>reach out to provider, facilities etc -- required information gather through call  -- then l1 and l2</t>
  </si>
  <si>
    <t>cross skills 
54%</t>
  </si>
  <si>
    <t>minor admin work -- check emails, queries responed etc -- EXL</t>
  </si>
  <si>
    <t>no sufficient time
post factor fillling claim -- no auth //later check who will pay</t>
  </si>
  <si>
    <t xml:space="preserve">late claim old year data </t>
  </si>
  <si>
    <t xml:space="preserve">non clinical staff -- BPO </t>
  </si>
  <si>
    <t>2 weeks - pre process training</t>
  </si>
  <si>
    <t>4 weeks - process training</t>
  </si>
  <si>
    <t>2 weeks - nesting stage (live cases but controlled environment)</t>
  </si>
  <si>
    <t>intake tream</t>
  </si>
  <si>
    <t>2 weeks - preprocess training</t>
  </si>
  <si>
    <t xml:space="preserve">2 weeks - process training </t>
  </si>
  <si>
    <t>2 weeks - Nesting</t>
  </si>
  <si>
    <t>6 week Ramp</t>
  </si>
  <si>
    <t>12 Total</t>
  </si>
  <si>
    <t>nurses primary work - clinical team - medical necessaties team -- review the medial identifier , is it really required ?</t>
  </si>
  <si>
    <t>CPI (Retro Audit)</t>
  </si>
  <si>
    <t>Retrospecialist Claims</t>
  </si>
  <si>
    <t>OP - outpatient</t>
  </si>
  <si>
    <t>IP - inpatient</t>
  </si>
  <si>
    <t>hospital stay covered or not? How many days?</t>
  </si>
  <si>
    <t>laboraries,xrays,mri,consultation etc</t>
  </si>
  <si>
    <t>after admission -- once discharge they don't go directly home they go to PAC</t>
  </si>
  <si>
    <t>cover for devices -- tools and equipments</t>
  </si>
  <si>
    <t>sleep - unable to sleep, difficulty breathing</t>
  </si>
  <si>
    <t>Clicinal - is non stream process for intake team</t>
  </si>
  <si>
    <t xml:space="preserve">some time yes, sometime not </t>
  </si>
  <si>
    <t>95% works intake team goes to clinical team</t>
  </si>
  <si>
    <t>certain scenarios are diff</t>
  </si>
  <si>
    <t>Appeals</t>
  </si>
  <si>
    <t>AiO Asset</t>
  </si>
  <si>
    <t>Offering / description</t>
  </si>
  <si>
    <t>Potential Impact</t>
  </si>
  <si>
    <t>Utilization Management 
(Intake and Clinical)</t>
  </si>
  <si>
    <t>multi-factor workload demand forecasting leveraging seasonality, temporal pattern, backlog dynamics, productivity and operational drivers.
-capacity requirement modeling to translate projected demand into optimal staffing levels across operational functions.
-forecast emplainability and variance attribution analytics to isolate key drivers impacting workload fluctuations.
-Prescriptive staffing recommendations balancing service-level targets, productivity thresholds and cost constrainsts.
-Scenario simulation framework for peak-volume, growth and operational disruption planning.</t>
  </si>
  <si>
    <t>Enhanced forecast precision and planning confidence through statistically driven demand projections.
-improved workforce utilization through demand-capacity alignment. 
-Reduction in capacity leakage arising from overstaffing, understaffing and workload imbalance.
-Improved SLA attainment and trunaround time predictability through proactive resource deployment.</t>
  </si>
  <si>
    <t>hey, you need to hire</t>
  </si>
  <si>
    <t>you hire from the 8 weeks from now, have you sent the request to recruitment</t>
  </si>
  <si>
    <t>Tool alerts</t>
  </si>
  <si>
    <t>your volume structure, you need to move this people to this area</t>
  </si>
  <si>
    <t>Checklist</t>
  </si>
  <si>
    <t>Description</t>
  </si>
  <si>
    <t>Intake and Clinical</t>
  </si>
  <si>
    <t>Remarks</t>
  </si>
  <si>
    <t>Types of Data</t>
  </si>
  <si>
    <t>Data sources</t>
  </si>
  <si>
    <t>API availability</t>
  </si>
  <si>
    <t>Data transfer options</t>
  </si>
  <si>
    <t>Historical Data Availability</t>
  </si>
  <si>
    <t>Data refresh frequency</t>
  </si>
  <si>
    <t>Data Location and Quality</t>
  </si>
  <si>
    <t>Label Availabity (for ML projects)</t>
  </si>
  <si>
    <t>Data Ownership</t>
  </si>
  <si>
    <t>Data Volume, Velocity</t>
  </si>
  <si>
    <t>EXL/Client</t>
  </si>
  <si>
    <t>SoW Validity</t>
  </si>
  <si>
    <t>3 or more</t>
  </si>
  <si>
    <t>Sharepoint</t>
  </si>
  <si>
    <t>EXL Onedrive</t>
  </si>
  <si>
    <t>productivity / Receipts - Daily</t>
  </si>
  <si>
    <t>productivity / Receipts - January 2024</t>
  </si>
  <si>
    <t>Yes</t>
  </si>
  <si>
    <t>NA</t>
  </si>
  <si>
    <t>WFM - Jane Abrina report to Carlo Belala</t>
  </si>
  <si>
    <t>Receipts - 57k per months</t>
  </si>
  <si>
    <t>productivity and quality (SLAs)</t>
  </si>
  <si>
    <t>Is it structured / unstructured; what are the file extensions</t>
  </si>
  <si>
    <t>Structured, excel files</t>
  </si>
  <si>
    <t>Number of data sources which will be feed to analytics model</t>
  </si>
  <si>
    <t>whether data can be accessed via APIs and includes documentations?</t>
  </si>
  <si>
    <t>SFTP, Sharepoint Upload, Shared Folder Access, Database Read Only Access etc.</t>
  </si>
  <si>
    <t>Extent of past data available (6 months, 1 yr, etc)</t>
  </si>
  <si>
    <t>How often the data is updated (real time, daily, weekly etc)</t>
  </si>
  <si>
    <t>is the data existing in EXL environment or allowed to bring in EXL environment</t>
  </si>
  <si>
    <t>Availability of target labels or outcomes for model training (e.g. overpaid: Yes/No, Fraud: Yes/No)</t>
  </si>
  <si>
    <t xml:space="preserve">Which team is responsible for the data </t>
  </si>
  <si>
    <t>Total amount of data available or generated for processing and analysis (10K records/monts, 5TB of data)</t>
  </si>
  <si>
    <t xml:space="preserve">what output/metrics/KPI the analytics model should show </t>
  </si>
  <si>
    <t xml:space="preserve">Responsible organization for hosting </t>
  </si>
  <si>
    <t>Untill when the statement of work (SoW) is valid (2,3,4 years)</t>
  </si>
  <si>
    <t>Operational shift window</t>
  </si>
  <si>
    <t>SME availability</t>
  </si>
  <si>
    <t>Availability of documented processes, policies and rules</t>
  </si>
  <si>
    <t>Availability of SMEs for guidance and validations</t>
  </si>
  <si>
    <t>Hours during which processes, support, agents are active online</t>
  </si>
  <si>
    <t>FTE-Full Time Equavality</t>
  </si>
  <si>
    <t>CPH-Cost Per Hire</t>
  </si>
  <si>
    <t>forecast of LOB (Intake &amp; Clinical)</t>
  </si>
  <si>
    <t>Rates cards send later</t>
  </si>
  <si>
    <t xml:space="preserve">Licensed Nurses
(can be trained in EXL - 3 months)EXL HEALTHCARE ACADEMY </t>
  </si>
  <si>
    <t>10 weeks - Ramp (live cases but targets gradually inc week over week)</t>
  </si>
  <si>
    <t>USRNS</t>
  </si>
  <si>
    <t>Junior staffing calls - every week</t>
  </si>
  <si>
    <t>FTA requirements</t>
  </si>
  <si>
    <t>assess</t>
  </si>
  <si>
    <t>potential attritions</t>
  </si>
  <si>
    <t>and assess whether  we are within client FTE requirement</t>
  </si>
  <si>
    <t>movements of employees</t>
  </si>
  <si>
    <t>require additional headcount or additional staff</t>
  </si>
  <si>
    <t>no specific timeline -- hire on pre need basis</t>
  </si>
  <si>
    <t>forecast based on volume</t>
  </si>
  <si>
    <t>for both intake / clinical</t>
  </si>
  <si>
    <t>Rate Card of Staff</t>
  </si>
  <si>
    <t>CPD-Cases per Day</t>
  </si>
  <si>
    <t>Teams (US licensed nurses only)</t>
  </si>
  <si>
    <t>Teams - BPO</t>
  </si>
  <si>
    <t>PAC - post acute care</t>
  </si>
  <si>
    <t>DME - Durable medical equipment</t>
  </si>
  <si>
    <t xml:space="preserve">$ 24 per hour for per person for clinical </t>
  </si>
  <si>
    <t>formula for calculating volume</t>
  </si>
  <si>
    <t>Q Vol</t>
  </si>
  <si>
    <t>Prod</t>
  </si>
  <si>
    <t>Inc. Vol</t>
  </si>
  <si>
    <t>formula</t>
  </si>
  <si>
    <t>current hours volume (what is the volume in the Queue at this current particular hour) + Productivity for the previous hour - Previour hour volume</t>
  </si>
  <si>
    <t>no productivity by 8 pm</t>
  </si>
  <si>
    <r>
      <t>EOD (8</t>
    </r>
    <r>
      <rPr>
        <sz val="11"/>
        <color rgb="FFFF0000"/>
        <rFont val="Calibri"/>
        <family val="2"/>
        <scheme val="minor"/>
      </rPr>
      <t>PM</t>
    </r>
    <r>
      <rPr>
        <sz val="11"/>
        <color theme="1"/>
        <rFont val="Calibri"/>
        <family val="2"/>
        <scheme val="minor"/>
      </rPr>
      <t xml:space="preserve"> CST)</t>
    </r>
  </si>
  <si>
    <r>
      <t>SOD (7</t>
    </r>
    <r>
      <rPr>
        <sz val="11"/>
        <color rgb="FFFF0000"/>
        <rFont val="Calibri"/>
        <family val="2"/>
        <scheme val="minor"/>
      </rPr>
      <t>AM</t>
    </r>
    <r>
      <rPr>
        <sz val="11"/>
        <color theme="1"/>
        <rFont val="Calibri"/>
        <family val="2"/>
        <scheme val="minor"/>
      </rPr>
      <t xml:space="preserve"> CST)</t>
    </r>
  </si>
  <si>
    <t>start of day</t>
  </si>
  <si>
    <t>previous day</t>
  </si>
  <si>
    <t>productivity</t>
  </si>
  <si>
    <t>from the folder</t>
  </si>
  <si>
    <t>yet to be processed</t>
  </si>
  <si>
    <t>they have processed</t>
  </si>
  <si>
    <t>derived number -- not exact</t>
  </si>
  <si>
    <t>BCBS MN</t>
  </si>
  <si>
    <t>US uniform recruitment -- 3-4 weeks advance notice</t>
  </si>
  <si>
    <t>Their team daily extracts the receipt based on derive formula</t>
  </si>
  <si>
    <t>Date</t>
  </si>
  <si>
    <t>LOB1</t>
  </si>
  <si>
    <t>OPENING</t>
  </si>
  <si>
    <t>Retrospective</t>
  </si>
  <si>
    <t>medicaid L2</t>
  </si>
  <si>
    <t>Level 1</t>
  </si>
  <si>
    <t>Level 2</t>
  </si>
  <si>
    <t>Medicaid MSHO Level 1</t>
  </si>
  <si>
    <t>Medicaid MSHO Level 2</t>
  </si>
  <si>
    <t>Lookup</t>
  </si>
  <si>
    <t>CPD</t>
  </si>
  <si>
    <t>CPH</t>
  </si>
  <si>
    <t>1st Level Triage</t>
  </si>
  <si>
    <t>2nd Level Triage</t>
  </si>
  <si>
    <t>2nd Level Triage Comms</t>
  </si>
  <si>
    <t>Medicaid L 1</t>
  </si>
  <si>
    <t>Medicaid L 2</t>
  </si>
  <si>
    <t>Level 1 Triage</t>
  </si>
  <si>
    <t>Level 2 Triage</t>
  </si>
  <si>
    <t>SLA</t>
  </si>
  <si>
    <t>FTE Count</t>
  </si>
  <si>
    <t>FTE Capacity</t>
  </si>
  <si>
    <t>Receipts</t>
  </si>
  <si>
    <t>Prod vs. FTE Capacity</t>
  </si>
  <si>
    <t>MTD</t>
  </si>
  <si>
    <t>WTD</t>
  </si>
  <si>
    <t>Daily Receipt</t>
  </si>
  <si>
    <t xml:space="preserve">receipt </t>
  </si>
  <si>
    <t xml:space="preserve">the amount of cases for task that we receive from the queue, the volume that we get  </t>
  </si>
  <si>
    <t>it doesn't go to EXL in lumsum/bulk, it goes to the buckest any time in a day</t>
  </si>
  <si>
    <t xml:space="preserve">24*7 </t>
  </si>
  <si>
    <t>10 person per day 10 cases</t>
  </si>
  <si>
    <t>methology</t>
  </si>
  <si>
    <t>three month rolling average</t>
  </si>
  <si>
    <t>weighted average</t>
  </si>
  <si>
    <t>Production - Prod</t>
  </si>
  <si>
    <t>from day 1</t>
  </si>
  <si>
    <t>consideration attritions or staff movements</t>
  </si>
  <si>
    <t>a frontline will be promoted to a QA then of course you would need to backfill that position</t>
  </si>
  <si>
    <t>clinical is the downstream process of intake team</t>
  </si>
  <si>
    <t>sometime process get cuts</t>
  </si>
  <si>
    <t>request need to cancel due to duplicate</t>
  </si>
  <si>
    <t>not valid</t>
  </si>
  <si>
    <t>provider suddenly request to cancel</t>
  </si>
  <si>
    <t>question</t>
  </si>
  <si>
    <t xml:space="preserve">scenarios where you guys are having issue on staffing </t>
  </si>
  <si>
    <t xml:space="preserve">answer </t>
  </si>
  <si>
    <t>it is hot topic between exl and bcbs -- conversation and discussion
what really be the propriate amount of staff required for this type of work</t>
  </si>
  <si>
    <t>3-4 years of partnership - 12 cases per day</t>
  </si>
  <si>
    <t>sublob naming system</t>
  </si>
  <si>
    <t>all data we see manually typed by exl</t>
  </si>
  <si>
    <t>per day receipt daily</t>
  </si>
  <si>
    <t xml:space="preserve">we don’t know what exactly the cases --we derive </t>
  </si>
  <si>
    <t>Q-Queue volumne</t>
  </si>
  <si>
    <t>current vol + Prod for Prev Interv/productivity - Prev. Vol</t>
  </si>
  <si>
    <t>10 cases came between 8pm to 7am</t>
  </si>
  <si>
    <t>how do we count the productivity?</t>
  </si>
  <si>
    <t xml:space="preserve">we go to the client --open the folder (those are the processes which they </t>
  </si>
  <si>
    <t>incoming volumne</t>
  </si>
  <si>
    <t>end of the day we sum</t>
  </si>
  <si>
    <t>110 cases we received in a day</t>
  </si>
  <si>
    <t>BCBS MN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</si>
</sst>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WE&quot;mmdd"/>
    <numFmt numFmtId="165" formatCode="mm/dd/yyyy"/>
  </numFmts>
  <fonts count="8">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8"/>
      <name val="Calibri"/>
      <family val="2"/>
      <scheme val="minor"/>
    </font>
    <font>
      <sz val="11"/>
      <name val="Carlito"/>
    </font>
    <font>
      <sz val="20"/>
      <color theme="1"/>
      <name val="Calibri"/>
      <family val="2"/>
      <scheme val="minor"/>
    </font>
    <font>
      <b/>
      <sz val="20"/>
      <color theme="1"/>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5" fillId="0" borderId="0"/>
  </cellStyleXfs>
  <cellXfs count="63">
    <xf numFmtId="0" fontId="0" fillId="0" borderId="0" xfId="0"/>
    <xf numFmtId="0" fontId="2" fillId="2" borderId="0" xfId="0" applyFont="1" applyFill="1"/>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2" fillId="3" borderId="0" xfId="0" applyFont="1" applyFill="1"/>
    <xf numFmtId="0" fontId="0" fillId="0" borderId="0" xfId="0" applyAlignment="1">
      <alignment horizontal="left" wrapText="1"/>
    </xf>
    <xf numFmtId="0" fontId="0" fillId="3" borderId="0" xfId="0" applyFill="1"/>
    <xf numFmtId="0" fontId="0" fillId="0" borderId="1" xfId="0" applyBorder="1"/>
    <xf numFmtId="0" fontId="0" fillId="4" borderId="1" xfId="0" applyFill="1" applyBorder="1"/>
    <xf numFmtId="0" fontId="0" fillId="4" borderId="1" xfId="0" applyFill="1" applyBorder="1" applyAlignment="1">
      <alignment horizontal="center" vertical="center"/>
    </xf>
    <xf numFmtId="0" fontId="0" fillId="5" borderId="0" xfId="0" applyFill="1" applyAlignment="1">
      <alignment vertical="center" wrapText="1"/>
    </xf>
    <xf numFmtId="0" fontId="0" fillId="5" borderId="0" xfId="0" applyFill="1" applyAlignment="1">
      <alignment wrapText="1"/>
    </xf>
    <xf numFmtId="0" fontId="0" fillId="5" borderId="0" xfId="0" applyFill="1" applyAlignment="1">
      <alignment vertical="top" wrapText="1"/>
    </xf>
    <xf numFmtId="0" fontId="2" fillId="5" borderId="0" xfId="0" applyFont="1" applyFill="1" applyAlignment="1">
      <alignment vertical="center" wrapText="1"/>
    </xf>
    <xf numFmtId="0" fontId="0" fillId="6" borderId="1" xfId="0" applyFill="1" applyBorder="1"/>
    <xf numFmtId="0" fontId="0" fillId="6" borderId="2" xfId="0" applyFill="1" applyBorder="1" applyAlignment="1">
      <alignment vertical="center"/>
    </xf>
    <xf numFmtId="0" fontId="0" fillId="7" borderId="1" xfId="0" applyFill="1" applyBorder="1"/>
    <xf numFmtId="0" fontId="0" fillId="7" borderId="0" xfId="0" applyFill="1"/>
    <xf numFmtId="0" fontId="0" fillId="8" borderId="0" xfId="0" applyFill="1"/>
    <xf numFmtId="0" fontId="0" fillId="0" borderId="3" xfId="0" applyBorder="1"/>
    <xf numFmtId="0" fontId="2" fillId="4" borderId="0" xfId="0" applyFont="1" applyFill="1" applyAlignment="1">
      <alignment horizontal="center" vertical="center"/>
    </xf>
    <xf numFmtId="0" fontId="2" fillId="4"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vertical="top" wrapText="1"/>
    </xf>
    <xf numFmtId="0" fontId="2" fillId="4" borderId="0" xfId="0" applyFont="1" applyFill="1" applyAlignment="1">
      <alignment horizontal="center"/>
    </xf>
    <xf numFmtId="9" fontId="0" fillId="0" borderId="0" xfId="0" applyNumberFormat="1"/>
    <xf numFmtId="0" fontId="2" fillId="2" borderId="1" xfId="0" applyFont="1" applyFill="1" applyBorder="1"/>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3" fillId="3" borderId="0" xfId="0" applyFont="1" applyFill="1"/>
    <xf numFmtId="0" fontId="0" fillId="4" borderId="1" xfId="0" applyFill="1" applyBorder="1" applyAlignment="1">
      <alignment horizontal="center"/>
    </xf>
    <xf numFmtId="0" fontId="2" fillId="0" borderId="0" xfId="0" applyFont="1"/>
    <xf numFmtId="20" fontId="0" fillId="0" borderId="1" xfId="0" applyNumberFormat="1" applyBorder="1"/>
    <xf numFmtId="0" fontId="2" fillId="4" borderId="1" xfId="0" applyFont="1" applyFill="1" applyBorder="1"/>
    <xf numFmtId="18" fontId="2" fillId="4" borderId="1" xfId="0" applyNumberFormat="1" applyFont="1" applyFill="1" applyBorder="1"/>
    <xf numFmtId="16" fontId="0" fillId="0" borderId="1" xfId="0" applyNumberFormat="1" applyBorder="1"/>
    <xf numFmtId="0" fontId="2" fillId="0" borderId="1" xfId="0" applyFont="1" applyBorder="1"/>
    <xf numFmtId="0" fontId="0" fillId="0" borderId="4" xfId="0" applyBorder="1"/>
    <xf numFmtId="164" fontId="0" fillId="0" borderId="0" xfId="0" applyNumberFormat="1"/>
    <xf numFmtId="165" fontId="0" fillId="0" borderId="0" xfId="0" applyNumberFormat="1"/>
    <xf numFmtId="20" fontId="2" fillId="9" borderId="0" xfId="0" applyNumberFormat="1" applyFont="1" applyFill="1"/>
    <xf numFmtId="20" fontId="2" fillId="4" borderId="0" xfId="0" applyNumberFormat="1" applyFont="1" applyFill="1"/>
    <xf numFmtId="0" fontId="0" fillId="0" borderId="0" xfId="0" applyAlignment="1">
      <alignment horizontal="center" wrapText="1"/>
    </xf>
    <xf numFmtId="0" fontId="2" fillId="3" borderId="0" xfId="0" applyFont="1" applyFill="1" applyAlignment="1">
      <alignment horizontal="center"/>
    </xf>
    <xf numFmtId="0" fontId="0" fillId="2" borderId="0" xfId="0" applyFill="1"/>
    <xf numFmtId="0" fontId="0" fillId="2" borderId="0" xfId="0" applyFill="1" applyAlignment="1">
      <alignment wrapText="1"/>
    </xf>
    <xf numFmtId="17" fontId="0" fillId="0" borderId="0" xfId="0" applyNumberFormat="1"/>
    <xf numFmtId="0" fontId="1" fillId="0" borderId="0" xfId="0" applyFont="1"/>
    <xf numFmtId="0" fontId="2" fillId="11" borderId="0" xfId="0" applyFont="1" applyFill="1" applyAlignment="1">
      <alignment horizontal="center" vertical="center" wrapText="1"/>
    </xf>
    <xf numFmtId="0" fontId="0" fillId="2" borderId="1" xfId="0" applyFill="1" applyBorder="1" applyAlignment="1">
      <alignment horizontal="center"/>
    </xf>
    <xf numFmtId="0" fontId="7" fillId="3" borderId="0" xfId="0" applyFont="1" applyFill="1" applyAlignment="1">
      <alignment horizontal="center" wrapText="1"/>
    </xf>
    <xf numFmtId="0" fontId="6" fillId="3" borderId="0" xfId="0" applyFont="1" applyFill="1" applyAlignment="1">
      <alignment horizontal="center" wrapText="1"/>
    </xf>
    <xf numFmtId="0" fontId="0" fillId="6" borderId="2" xfId="0" applyFill="1"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0" xfId="0" applyFill="1" applyAlignment="1">
      <alignment horizontal="center" wrapText="1"/>
    </xf>
    <xf numFmtId="0" fontId="0" fillId="10" borderId="0" xfId="0" applyFill="1" applyAlignment="1">
      <alignment horizontal="center" wrapText="1"/>
    </xf>
  </cellXfs>
  <cellStyles count="2">
    <cellStyle name="Normal" xfId="0" builtinId="0"/>
    <cellStyle name="Normal 2" xfId="1" xr:uid="{31B6A92F-A860-402F-A9C8-B34A8EB381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workbookViewId="0">
      <pane ySplit="4" topLeftCell="A5" activePane="bottomLeft" state="frozen"/>
      <selection pane="bottomLeft" activeCell="E9" sqref="E9"/>
    </sheetView>
  </sheetViews>
  <sheetFormatPr defaultRowHeight="14.4"/>
  <cols>
    <col min="1" max="1" width="3.44140625" bestFit="1" customWidth="1"/>
    <col min="2" max="2" width="8.21875" bestFit="1" customWidth="1"/>
    <col min="3" max="3" width="14.21875" bestFit="1" customWidth="1"/>
    <col min="4" max="4" width="31.5546875" customWidth="1"/>
    <col min="5" max="5" width="54.33203125" customWidth="1"/>
    <col min="6" max="6" width="47.33203125" customWidth="1"/>
    <col min="7" max="7" width="41.77734375" customWidth="1"/>
  </cols>
  <sheetData>
    <row r="1" spans="1:7">
      <c r="A1" s="55" t="s">
        <v>260</v>
      </c>
      <c r="B1" s="56"/>
      <c r="C1" s="56"/>
      <c r="D1" s="56"/>
      <c r="E1" s="56"/>
      <c r="F1" s="56"/>
      <c r="G1" s="56"/>
    </row>
    <row r="2" spans="1:7">
      <c r="A2" s="56"/>
      <c r="B2" s="56"/>
      <c r="C2" s="56"/>
      <c r="D2" s="56"/>
      <c r="E2" s="56"/>
      <c r="F2" s="56"/>
      <c r="G2" s="56"/>
    </row>
    <row r="4" spans="1:7">
      <c r="A4" s="29" t="s">
        <v>0</v>
      </c>
      <c r="B4" s="29" t="s">
        <v>1</v>
      </c>
      <c r="C4" s="29" t="s">
        <v>2</v>
      </c>
      <c r="D4" s="29" t="s">
        <v>3</v>
      </c>
      <c r="E4" s="29" t="s">
        <v>4</v>
      </c>
      <c r="F4" s="29" t="s">
        <v>5</v>
      </c>
      <c r="G4" s="29" t="s">
        <v>6</v>
      </c>
    </row>
    <row r="5" spans="1:7" ht="230.4">
      <c r="A5" s="30">
        <v>1</v>
      </c>
      <c r="B5" s="30" t="s">
        <v>196</v>
      </c>
      <c r="C5" s="31" t="s">
        <v>7</v>
      </c>
      <c r="D5" s="32" t="s">
        <v>8</v>
      </c>
      <c r="E5" s="33" t="s">
        <v>9</v>
      </c>
      <c r="F5" s="33" t="s">
        <v>10</v>
      </c>
      <c r="G5" s="33" t="s">
        <v>11</v>
      </c>
    </row>
    <row r="8" spans="1:7">
      <c r="C8" s="23" t="s">
        <v>2</v>
      </c>
      <c r="D8" s="23" t="s">
        <v>101</v>
      </c>
      <c r="E8" s="23" t="s">
        <v>102</v>
      </c>
      <c r="F8" s="23" t="s">
        <v>103</v>
      </c>
    </row>
    <row r="9" spans="1:7" ht="158.4">
      <c r="C9" s="24" t="s">
        <v>104</v>
      </c>
      <c r="D9" s="24" t="s">
        <v>8</v>
      </c>
      <c r="E9" s="25" t="s">
        <v>105</v>
      </c>
      <c r="F9" s="26" t="s">
        <v>106</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CC30-89B0-46B7-A823-70F6907E607F}">
  <dimension ref="A1:F18"/>
  <sheetViews>
    <sheetView topLeftCell="B1" workbookViewId="0">
      <selection activeCell="D19" sqref="D19"/>
    </sheetView>
  </sheetViews>
  <sheetFormatPr defaultRowHeight="14.4"/>
  <cols>
    <col min="1" max="1" width="9.77734375" customWidth="1"/>
    <col min="2" max="2" width="28.109375" bestFit="1" customWidth="1"/>
    <col min="3" max="3" width="66.77734375" customWidth="1"/>
    <col min="4" max="4" width="34.88671875" bestFit="1" customWidth="1"/>
    <col min="5" max="5" width="11.6640625" bestFit="1" customWidth="1"/>
  </cols>
  <sheetData>
    <row r="1" spans="1:6">
      <c r="A1" s="22"/>
      <c r="B1" s="22" t="s">
        <v>111</v>
      </c>
      <c r="C1" s="22" t="s">
        <v>112</v>
      </c>
      <c r="D1" s="22" t="s">
        <v>113</v>
      </c>
      <c r="E1" s="22" t="s">
        <v>114</v>
      </c>
      <c r="F1" s="3"/>
    </row>
    <row r="2" spans="1:6">
      <c r="A2" s="3"/>
      <c r="B2" s="3" t="s">
        <v>115</v>
      </c>
      <c r="C2" s="3" t="s">
        <v>137</v>
      </c>
      <c r="D2" s="3" t="s">
        <v>138</v>
      </c>
      <c r="E2" s="3"/>
      <c r="F2" s="3"/>
    </row>
    <row r="3" spans="1:6">
      <c r="A3" s="3"/>
      <c r="B3" s="3" t="s">
        <v>116</v>
      </c>
      <c r="C3" s="3" t="s">
        <v>139</v>
      </c>
      <c r="D3" s="3" t="s">
        <v>127</v>
      </c>
      <c r="E3" s="3"/>
      <c r="F3" s="3"/>
    </row>
    <row r="4" spans="1:6">
      <c r="A4" s="3"/>
      <c r="B4" s="3" t="s">
        <v>117</v>
      </c>
      <c r="C4" s="3" t="s">
        <v>140</v>
      </c>
      <c r="D4" s="3" t="s">
        <v>0</v>
      </c>
      <c r="E4" s="3" t="s">
        <v>129</v>
      </c>
      <c r="F4" s="3"/>
    </row>
    <row r="5" spans="1:6">
      <c r="A5" s="3"/>
      <c r="B5" s="3" t="s">
        <v>118</v>
      </c>
      <c r="C5" s="3" t="s">
        <v>141</v>
      </c>
      <c r="D5" s="3" t="s">
        <v>128</v>
      </c>
      <c r="E5" s="3"/>
      <c r="F5" s="3"/>
    </row>
    <row r="6" spans="1:6">
      <c r="A6" s="3"/>
      <c r="B6" s="3" t="s">
        <v>119</v>
      </c>
      <c r="C6" s="3" t="s">
        <v>142</v>
      </c>
      <c r="D6" s="3" t="s">
        <v>131</v>
      </c>
      <c r="E6" s="3"/>
      <c r="F6" s="3"/>
    </row>
    <row r="7" spans="1:6">
      <c r="A7" s="3"/>
      <c r="B7" s="3" t="s">
        <v>120</v>
      </c>
      <c r="C7" s="3" t="s">
        <v>143</v>
      </c>
      <c r="D7" s="3" t="s">
        <v>130</v>
      </c>
      <c r="E7" s="3"/>
      <c r="F7" s="3"/>
    </row>
    <row r="8" spans="1:6">
      <c r="A8" s="3"/>
      <c r="B8" s="3" t="s">
        <v>121</v>
      </c>
      <c r="C8" s="3" t="s">
        <v>144</v>
      </c>
      <c r="D8" s="3" t="s">
        <v>132</v>
      </c>
      <c r="E8" s="3"/>
      <c r="F8" s="3"/>
    </row>
    <row r="9" spans="1:6" ht="28.8">
      <c r="A9" s="3"/>
      <c r="B9" s="3" t="s">
        <v>122</v>
      </c>
      <c r="C9" s="5" t="s">
        <v>145</v>
      </c>
      <c r="D9" s="3" t="s">
        <v>133</v>
      </c>
      <c r="E9" s="3"/>
      <c r="F9" s="3"/>
    </row>
    <row r="10" spans="1:6">
      <c r="A10" s="3"/>
      <c r="B10" s="3" t="s">
        <v>123</v>
      </c>
      <c r="C10" s="3" t="s">
        <v>146</v>
      </c>
      <c r="D10" s="3" t="s">
        <v>134</v>
      </c>
      <c r="E10" s="3"/>
      <c r="F10" s="3"/>
    </row>
    <row r="11" spans="1:6" ht="28.8">
      <c r="A11" s="3"/>
      <c r="B11" s="3" t="s">
        <v>124</v>
      </c>
      <c r="C11" s="5" t="s">
        <v>147</v>
      </c>
      <c r="D11" s="3" t="s">
        <v>135</v>
      </c>
      <c r="E11" s="3"/>
      <c r="F11" s="3"/>
    </row>
    <row r="12" spans="1:6">
      <c r="A12" s="3"/>
      <c r="B12" s="3" t="s">
        <v>125</v>
      </c>
      <c r="C12" s="3" t="s">
        <v>148</v>
      </c>
      <c r="D12" s="3" t="s">
        <v>136</v>
      </c>
      <c r="E12" s="3"/>
      <c r="F12" s="3"/>
    </row>
    <row r="13" spans="1:6">
      <c r="A13" s="3"/>
      <c r="B13" s="3" t="s">
        <v>126</v>
      </c>
      <c r="C13" s="3" t="s">
        <v>149</v>
      </c>
      <c r="D13" s="3"/>
      <c r="E13" s="3"/>
      <c r="F13" s="3"/>
    </row>
    <row r="14" spans="1:6">
      <c r="A14" s="3"/>
      <c r="B14" s="3" t="s">
        <v>151</v>
      </c>
      <c r="C14" s="3" t="s">
        <v>150</v>
      </c>
      <c r="D14" s="3"/>
      <c r="E14" s="3"/>
      <c r="F14" s="3"/>
    </row>
    <row r="15" spans="1:6">
      <c r="A15" s="3"/>
      <c r="B15" s="3" t="s">
        <v>152</v>
      </c>
      <c r="C15" s="3" t="s">
        <v>155</v>
      </c>
      <c r="D15" s="3"/>
      <c r="E15" s="3"/>
      <c r="F15" s="3"/>
    </row>
    <row r="16" spans="1:6">
      <c r="A16" s="3"/>
      <c r="B16" s="3"/>
      <c r="C16" s="3" t="s">
        <v>154</v>
      </c>
      <c r="D16" s="3"/>
      <c r="E16" s="3"/>
      <c r="F16" s="3"/>
    </row>
    <row r="17" spans="1:6">
      <c r="A17" s="3"/>
      <c r="B17" s="3"/>
      <c r="C17" s="3" t="s">
        <v>153</v>
      </c>
      <c r="D17" s="3"/>
      <c r="E17" s="3"/>
      <c r="F17" s="3"/>
    </row>
    <row r="18" spans="1:6">
      <c r="A18" s="3"/>
      <c r="B18" s="3"/>
      <c r="C18" s="3"/>
      <c r="D18" s="3"/>
      <c r="E18" s="3"/>
      <c r="F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A07D-F65D-4558-B55E-2035610D90D7}">
  <dimension ref="B1:C25"/>
  <sheetViews>
    <sheetView workbookViewId="0">
      <selection activeCell="B12" sqref="B12"/>
    </sheetView>
  </sheetViews>
  <sheetFormatPr defaultRowHeight="14.4"/>
  <cols>
    <col min="2" max="2" width="73.33203125" customWidth="1"/>
    <col min="3" max="3" width="10.44140625" bestFit="1" customWidth="1"/>
  </cols>
  <sheetData>
    <row r="1" spans="2:2">
      <c r="B1" s="1" t="s">
        <v>12</v>
      </c>
    </row>
    <row r="2" spans="2:2">
      <c r="B2" s="8" t="s">
        <v>26</v>
      </c>
    </row>
    <row r="3" spans="2:2">
      <c r="B3" t="s">
        <v>13</v>
      </c>
    </row>
    <row r="4" spans="2:2">
      <c r="B4" t="s">
        <v>14</v>
      </c>
    </row>
    <row r="6" spans="2:2">
      <c r="B6" s="8" t="s">
        <v>15</v>
      </c>
    </row>
    <row r="8" spans="2:2" ht="72">
      <c r="B8" s="2" t="s">
        <v>20</v>
      </c>
    </row>
    <row r="9" spans="2:2">
      <c r="B9" t="s">
        <v>16</v>
      </c>
    </row>
    <row r="10" spans="2:2">
      <c r="B10" t="s">
        <v>18</v>
      </c>
    </row>
    <row r="11" spans="2:2">
      <c r="B11" t="s">
        <v>17</v>
      </c>
    </row>
    <row r="12" spans="2:2">
      <c r="B12" t="s">
        <v>19</v>
      </c>
    </row>
    <row r="15" spans="2:2">
      <c r="B15" s="6" t="s">
        <v>25</v>
      </c>
    </row>
    <row r="16" spans="2:2" ht="43.2">
      <c r="B16" s="7" t="s">
        <v>21</v>
      </c>
    </row>
    <row r="17" spans="2:3" ht="28.8">
      <c r="B17" s="2" t="s">
        <v>24</v>
      </c>
    </row>
    <row r="18" spans="2:3">
      <c r="B18" s="2" t="s">
        <v>27</v>
      </c>
    </row>
    <row r="20" spans="2:3">
      <c r="B20" t="s">
        <v>22</v>
      </c>
      <c r="C20" t="s">
        <v>23</v>
      </c>
    </row>
    <row r="22" spans="2:3">
      <c r="B22" s="27" t="s">
        <v>109</v>
      </c>
    </row>
    <row r="23" spans="2:3">
      <c r="B23" t="s">
        <v>107</v>
      </c>
    </row>
    <row r="24" spans="2:3">
      <c r="B24" t="s">
        <v>108</v>
      </c>
    </row>
    <row r="25" spans="2:3">
      <c r="B25"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0E14-FC7D-4EFF-9D37-32AE3D21473B}">
  <dimension ref="A1:K48"/>
  <sheetViews>
    <sheetView topLeftCell="C1" workbookViewId="0">
      <selection activeCell="H50" sqref="H50"/>
    </sheetView>
  </sheetViews>
  <sheetFormatPr defaultRowHeight="14.4"/>
  <cols>
    <col min="1" max="1" width="11.77734375" customWidth="1"/>
    <col min="2" max="2" width="57.77734375" customWidth="1"/>
    <col min="3" max="3" width="12" customWidth="1"/>
    <col min="5" max="5" width="50.6640625" bestFit="1" customWidth="1"/>
    <col min="6" max="6" width="34.44140625" customWidth="1"/>
    <col min="7" max="7" width="14.44140625" customWidth="1"/>
    <col min="8" max="8" width="14.77734375" customWidth="1"/>
    <col min="9" max="9" width="33.88671875" customWidth="1"/>
    <col min="10" max="10" width="25.21875" customWidth="1"/>
    <col min="11" max="11" width="29.109375" customWidth="1"/>
  </cols>
  <sheetData>
    <row r="1" spans="1:11">
      <c r="A1" s="10" t="s">
        <v>2</v>
      </c>
      <c r="B1" s="9" t="s">
        <v>32</v>
      </c>
    </row>
    <row r="2" spans="1:11">
      <c r="A2" s="10" t="s">
        <v>33</v>
      </c>
      <c r="B2" s="9" t="s">
        <v>34</v>
      </c>
    </row>
    <row r="4" spans="1:11" ht="86.4">
      <c r="A4" s="4" t="s">
        <v>60</v>
      </c>
      <c r="B4" s="2" t="s">
        <v>61</v>
      </c>
      <c r="C4" s="2"/>
      <c r="D4" s="11" t="s">
        <v>28</v>
      </c>
      <c r="E4" s="11" t="s">
        <v>29</v>
      </c>
      <c r="F4" s="5" t="s">
        <v>72</v>
      </c>
      <c r="G4" s="15" t="s">
        <v>67</v>
      </c>
      <c r="H4" s="12" t="s">
        <v>63</v>
      </c>
      <c r="I4" s="13" t="s">
        <v>64</v>
      </c>
      <c r="J4" s="14" t="s">
        <v>65</v>
      </c>
      <c r="K4" s="14" t="s">
        <v>66</v>
      </c>
    </row>
    <row r="5" spans="1:11">
      <c r="C5" s="59" t="s">
        <v>76</v>
      </c>
      <c r="D5" s="9" t="s">
        <v>30</v>
      </c>
      <c r="E5" s="18" t="s">
        <v>31</v>
      </c>
      <c r="F5" s="19" t="s">
        <v>69</v>
      </c>
      <c r="G5" t="s">
        <v>57</v>
      </c>
      <c r="H5" t="s">
        <v>58</v>
      </c>
      <c r="I5" t="s">
        <v>59</v>
      </c>
    </row>
    <row r="6" spans="1:11">
      <c r="B6" t="s">
        <v>62</v>
      </c>
      <c r="C6" s="59"/>
      <c r="D6" s="9" t="s">
        <v>30</v>
      </c>
      <c r="E6" s="16" t="s">
        <v>39</v>
      </c>
      <c r="F6" s="57" t="s">
        <v>70</v>
      </c>
    </row>
    <row r="7" spans="1:11">
      <c r="C7" s="59"/>
      <c r="D7" s="9" t="s">
        <v>30</v>
      </c>
      <c r="E7" s="16" t="s">
        <v>40</v>
      </c>
      <c r="F7" s="57"/>
    </row>
    <row r="8" spans="1:11">
      <c r="C8" s="59"/>
      <c r="D8" s="9" t="s">
        <v>30</v>
      </c>
      <c r="E8" s="9" t="s">
        <v>41</v>
      </c>
      <c r="F8" t="s">
        <v>71</v>
      </c>
    </row>
    <row r="9" spans="1:11">
      <c r="B9" t="s">
        <v>80</v>
      </c>
      <c r="C9" s="59"/>
      <c r="D9" s="9" t="s">
        <v>30</v>
      </c>
      <c r="E9" s="9" t="s">
        <v>42</v>
      </c>
      <c r="F9" t="s">
        <v>73</v>
      </c>
    </row>
    <row r="10" spans="1:11">
      <c r="B10" t="s">
        <v>81</v>
      </c>
      <c r="C10" s="59"/>
      <c r="D10" s="9" t="s">
        <v>30</v>
      </c>
      <c r="E10" s="18" t="s">
        <v>43</v>
      </c>
      <c r="F10" s="19" t="s">
        <v>68</v>
      </c>
    </row>
    <row r="11" spans="1:11">
      <c r="B11" t="s">
        <v>82</v>
      </c>
      <c r="C11" s="59"/>
      <c r="D11" s="9" t="s">
        <v>30</v>
      </c>
      <c r="E11" s="16" t="s">
        <v>44</v>
      </c>
      <c r="F11" s="17" t="s">
        <v>70</v>
      </c>
    </row>
    <row r="12" spans="1:11">
      <c r="B12" t="s">
        <v>83</v>
      </c>
      <c r="C12" s="59"/>
      <c r="D12" s="9" t="s">
        <v>30</v>
      </c>
      <c r="E12" s="9" t="s">
        <v>45</v>
      </c>
      <c r="F12" s="58" t="s">
        <v>74</v>
      </c>
    </row>
    <row r="13" spans="1:11">
      <c r="B13" t="s">
        <v>84</v>
      </c>
      <c r="C13" s="59"/>
      <c r="D13" s="9" t="s">
        <v>30</v>
      </c>
      <c r="E13" s="9" t="s">
        <v>46</v>
      </c>
      <c r="F13" s="58"/>
    </row>
    <row r="14" spans="1:11">
      <c r="B14" t="s">
        <v>85</v>
      </c>
      <c r="C14" s="59"/>
      <c r="D14" s="9" t="s">
        <v>30</v>
      </c>
      <c r="E14" s="9" t="s">
        <v>47</v>
      </c>
      <c r="F14" s="58"/>
      <c r="G14" s="20" t="s">
        <v>75</v>
      </c>
    </row>
    <row r="16" spans="1:11">
      <c r="D16" s="10" t="s">
        <v>28</v>
      </c>
      <c r="E16" s="10" t="s">
        <v>29</v>
      </c>
      <c r="F16" t="s">
        <v>86</v>
      </c>
    </row>
    <row r="17" spans="1:8" ht="14.4" customHeight="1">
      <c r="A17" t="s">
        <v>162</v>
      </c>
      <c r="B17" t="s">
        <v>197</v>
      </c>
      <c r="C17" s="60" t="s">
        <v>160</v>
      </c>
      <c r="D17" s="9" t="s">
        <v>48</v>
      </c>
      <c r="E17" s="9" t="s">
        <v>49</v>
      </c>
    </row>
    <row r="18" spans="1:8">
      <c r="A18" t="s">
        <v>235</v>
      </c>
      <c r="B18" t="s">
        <v>77</v>
      </c>
      <c r="C18" s="60"/>
      <c r="D18" s="9" t="s">
        <v>48</v>
      </c>
      <c r="E18" s="9" t="s">
        <v>50</v>
      </c>
    </row>
    <row r="19" spans="1:8">
      <c r="B19" t="s">
        <v>78</v>
      </c>
      <c r="C19" s="60"/>
      <c r="D19" s="9" t="s">
        <v>48</v>
      </c>
      <c r="E19" s="9" t="s">
        <v>51</v>
      </c>
      <c r="F19" t="s">
        <v>89</v>
      </c>
      <c r="G19" t="s">
        <v>92</v>
      </c>
    </row>
    <row r="20" spans="1:8">
      <c r="B20" t="s">
        <v>79</v>
      </c>
      <c r="C20" s="60"/>
      <c r="D20" s="9" t="s">
        <v>48</v>
      </c>
      <c r="E20" s="9" t="s">
        <v>52</v>
      </c>
      <c r="F20" t="s">
        <v>90</v>
      </c>
      <c r="G20" t="s">
        <v>91</v>
      </c>
    </row>
    <row r="21" spans="1:8">
      <c r="B21" t="s">
        <v>161</v>
      </c>
      <c r="C21" s="60"/>
      <c r="D21" s="9" t="s">
        <v>48</v>
      </c>
      <c r="E21" s="9" t="s">
        <v>53</v>
      </c>
      <c r="F21" t="s">
        <v>177</v>
      </c>
      <c r="G21" t="s">
        <v>93</v>
      </c>
    </row>
    <row r="22" spans="1:8">
      <c r="C22" s="60"/>
      <c r="D22" s="9" t="s">
        <v>48</v>
      </c>
      <c r="E22" s="9" t="s">
        <v>54</v>
      </c>
      <c r="F22" t="s">
        <v>178</v>
      </c>
      <c r="G22" t="s">
        <v>94</v>
      </c>
    </row>
    <row r="23" spans="1:8">
      <c r="C23" s="60"/>
      <c r="D23" s="9" t="s">
        <v>48</v>
      </c>
      <c r="E23" s="9" t="s">
        <v>55</v>
      </c>
      <c r="F23" t="s">
        <v>95</v>
      </c>
    </row>
    <row r="24" spans="1:8">
      <c r="C24" s="60"/>
      <c r="D24" s="9" t="s">
        <v>48</v>
      </c>
      <c r="E24" s="9" t="s">
        <v>56</v>
      </c>
    </row>
    <row r="25" spans="1:8">
      <c r="C25" s="60"/>
      <c r="D25" s="9" t="s">
        <v>48</v>
      </c>
      <c r="E25" s="21" t="s">
        <v>100</v>
      </c>
      <c r="F25" t="s">
        <v>96</v>
      </c>
      <c r="G25" t="s">
        <v>97</v>
      </c>
    </row>
    <row r="26" spans="1:8">
      <c r="C26" s="60"/>
      <c r="D26" s="9" t="s">
        <v>48</v>
      </c>
      <c r="E26" s="9" t="s">
        <v>87</v>
      </c>
    </row>
    <row r="27" spans="1:8">
      <c r="C27" s="60"/>
      <c r="D27" s="9" t="s">
        <v>48</v>
      </c>
      <c r="E27" s="9" t="s">
        <v>88</v>
      </c>
    </row>
    <row r="30" spans="1:8">
      <c r="A30" t="s">
        <v>36</v>
      </c>
      <c r="B30" t="s">
        <v>35</v>
      </c>
    </row>
    <row r="31" spans="1:8">
      <c r="A31" t="s">
        <v>37</v>
      </c>
      <c r="B31" t="s">
        <v>38</v>
      </c>
      <c r="H31" t="s">
        <v>238</v>
      </c>
    </row>
    <row r="32" spans="1:8">
      <c r="H32" t="s">
        <v>98</v>
      </c>
    </row>
    <row r="33" spans="2:9">
      <c r="H33" t="s">
        <v>99</v>
      </c>
      <c r="I33" t="s">
        <v>239</v>
      </c>
    </row>
    <row r="34" spans="2:9">
      <c r="B34" s="48" t="s">
        <v>163</v>
      </c>
      <c r="F34" s="34" t="s">
        <v>173</v>
      </c>
      <c r="I34" t="s">
        <v>240</v>
      </c>
    </row>
    <row r="35" spans="2:9">
      <c r="B35" s="48" t="s">
        <v>165</v>
      </c>
      <c r="I35" t="s">
        <v>241</v>
      </c>
    </row>
    <row r="36" spans="2:9">
      <c r="B36" t="s">
        <v>164</v>
      </c>
      <c r="D36" t="s">
        <v>170</v>
      </c>
      <c r="F36" t="s">
        <v>179</v>
      </c>
      <c r="I36" t="s">
        <v>242</v>
      </c>
    </row>
    <row r="37" spans="2:9">
      <c r="B37" t="s">
        <v>166</v>
      </c>
    </row>
    <row r="38" spans="2:9">
      <c r="B38" t="s">
        <v>167</v>
      </c>
      <c r="E38" t="s">
        <v>172</v>
      </c>
    </row>
    <row r="39" spans="2:9">
      <c r="B39" t="s">
        <v>168</v>
      </c>
      <c r="D39">
        <v>1</v>
      </c>
      <c r="E39" t="s">
        <v>171</v>
      </c>
    </row>
    <row r="40" spans="2:9">
      <c r="B40" t="s">
        <v>169</v>
      </c>
      <c r="D40">
        <v>2</v>
      </c>
      <c r="E40" t="s">
        <v>236</v>
      </c>
    </row>
    <row r="41" spans="2:9">
      <c r="H41" s="49" t="s">
        <v>243</v>
      </c>
      <c r="I41" s="49" t="s">
        <v>244</v>
      </c>
    </row>
    <row r="42" spans="2:9" ht="57.6">
      <c r="E42" t="s">
        <v>237</v>
      </c>
      <c r="H42" s="49" t="s">
        <v>245</v>
      </c>
      <c r="I42" s="50" t="s">
        <v>246</v>
      </c>
    </row>
    <row r="44" spans="2:9">
      <c r="H44" t="s">
        <v>247</v>
      </c>
    </row>
    <row r="46" spans="2:9">
      <c r="H46" s="51">
        <v>46143</v>
      </c>
      <c r="I46" t="s">
        <v>248</v>
      </c>
    </row>
    <row r="47" spans="2:9">
      <c r="I47" t="s">
        <v>249</v>
      </c>
    </row>
    <row r="48" spans="2:9">
      <c r="I48" t="s">
        <v>250</v>
      </c>
    </row>
  </sheetData>
  <mergeCells count="4">
    <mergeCell ref="F6:F7"/>
    <mergeCell ref="F12:F14"/>
    <mergeCell ref="C5:C14"/>
    <mergeCell ref="C17:C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A667-3F9E-4F7C-8628-80197CF47B43}">
  <dimension ref="A1:L16"/>
  <sheetViews>
    <sheetView tabSelected="1" workbookViewId="0">
      <selection activeCell="E25" sqref="E25"/>
    </sheetView>
  </sheetViews>
  <sheetFormatPr defaultRowHeight="14.4"/>
  <cols>
    <col min="1" max="1" width="26.33203125" bestFit="1" customWidth="1"/>
    <col min="3" max="3" width="13.5546875" bestFit="1" customWidth="1"/>
    <col min="4" max="4" width="38.44140625" bestFit="1" customWidth="1"/>
    <col min="5" max="5" width="7.109375" bestFit="1" customWidth="1"/>
    <col min="6" max="6" width="20.5546875" customWidth="1"/>
    <col min="7" max="7" width="20" bestFit="1" customWidth="1"/>
    <col min="11" max="11" width="17.77734375" bestFit="1" customWidth="1"/>
  </cols>
  <sheetData>
    <row r="1" spans="1:12">
      <c r="A1" t="s">
        <v>251</v>
      </c>
    </row>
    <row r="4" spans="1:12">
      <c r="A4" t="s">
        <v>180</v>
      </c>
    </row>
    <row r="6" spans="1:12">
      <c r="C6" t="s">
        <v>184</v>
      </c>
      <c r="D6" s="36" t="s">
        <v>253</v>
      </c>
    </row>
    <row r="7" spans="1:12">
      <c r="F7" t="s">
        <v>190</v>
      </c>
      <c r="G7" t="s">
        <v>189</v>
      </c>
    </row>
    <row r="8" spans="1:12">
      <c r="E8" s="9"/>
      <c r="F8" s="9" t="s">
        <v>187</v>
      </c>
      <c r="G8" s="9" t="s">
        <v>188</v>
      </c>
      <c r="H8" s="37">
        <v>0.33333333333333331</v>
      </c>
      <c r="I8" s="37">
        <v>0.375</v>
      </c>
      <c r="J8" s="37">
        <v>0.41666666666666669</v>
      </c>
    </row>
    <row r="9" spans="1:12">
      <c r="D9" t="s">
        <v>252</v>
      </c>
      <c r="E9" s="9" t="s">
        <v>181</v>
      </c>
      <c r="F9" s="9">
        <v>20</v>
      </c>
      <c r="G9" s="9">
        <v>30</v>
      </c>
      <c r="H9" s="9">
        <v>40</v>
      </c>
      <c r="I9" s="9">
        <v>60</v>
      </c>
      <c r="J9" s="9">
        <v>45</v>
      </c>
      <c r="K9" t="s">
        <v>193</v>
      </c>
    </row>
    <row r="10" spans="1:12">
      <c r="C10" t="s">
        <v>192</v>
      </c>
      <c r="D10" t="s">
        <v>191</v>
      </c>
      <c r="E10" s="9" t="s">
        <v>182</v>
      </c>
      <c r="F10" s="9" t="s">
        <v>186</v>
      </c>
      <c r="G10" s="9"/>
      <c r="H10" s="9">
        <v>0</v>
      </c>
      <c r="I10" s="9">
        <v>50</v>
      </c>
      <c r="J10" s="9">
        <v>35</v>
      </c>
      <c r="K10" t="s">
        <v>194</v>
      </c>
    </row>
    <row r="11" spans="1:12">
      <c r="E11" s="9"/>
      <c r="F11" s="9"/>
      <c r="G11" s="9"/>
      <c r="H11" s="9"/>
      <c r="I11" s="9"/>
      <c r="J11" s="9"/>
    </row>
    <row r="12" spans="1:12">
      <c r="E12" s="9" t="s">
        <v>183</v>
      </c>
      <c r="F12" s="9"/>
      <c r="G12" s="9">
        <f>G10+G9-F9</f>
        <v>10</v>
      </c>
      <c r="H12" s="9">
        <f t="shared" ref="H12:J12" si="0">H10+H9-G9</f>
        <v>10</v>
      </c>
      <c r="I12" s="9">
        <f>I10+I9-H9</f>
        <v>70</v>
      </c>
      <c r="J12" s="9">
        <f t="shared" si="0"/>
        <v>20</v>
      </c>
      <c r="K12" s="21">
        <f>SUM(G12:J12)</f>
        <v>110</v>
      </c>
      <c r="L12" t="s">
        <v>258</v>
      </c>
    </row>
    <row r="13" spans="1:12">
      <c r="E13" s="21" t="s">
        <v>257</v>
      </c>
      <c r="G13" s="52" t="s">
        <v>254</v>
      </c>
      <c r="K13" s="52" t="s">
        <v>259</v>
      </c>
    </row>
    <row r="14" spans="1:12">
      <c r="K14" s="52" t="s">
        <v>195</v>
      </c>
    </row>
    <row r="16" spans="1:12" ht="72">
      <c r="A16" s="2" t="s">
        <v>185</v>
      </c>
      <c r="F16" s="53" t="s">
        <v>255</v>
      </c>
      <c r="G16" s="47" t="s">
        <v>256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2AF6-63F0-439F-9F2C-A7FE30BF664D}">
  <dimension ref="B2:I33"/>
  <sheetViews>
    <sheetView workbookViewId="0">
      <selection activeCell="H18" sqref="H18"/>
    </sheetView>
  </sheetViews>
  <sheetFormatPr defaultRowHeight="14.4"/>
  <cols>
    <col min="3" max="3" width="50.6640625" bestFit="1" customWidth="1"/>
    <col min="9" max="9" width="75.6640625" bestFit="1" customWidth="1"/>
  </cols>
  <sheetData>
    <row r="2" spans="2:9">
      <c r="B2" s="11" t="s">
        <v>28</v>
      </c>
      <c r="C2" s="11" t="s">
        <v>29</v>
      </c>
    </row>
    <row r="3" spans="2:9">
      <c r="B3" s="9" t="s">
        <v>30</v>
      </c>
      <c r="C3" s="9" t="s">
        <v>31</v>
      </c>
      <c r="D3" s="58" t="s">
        <v>176</v>
      </c>
      <c r="F3" s="28">
        <v>0.54</v>
      </c>
      <c r="H3" t="s">
        <v>198</v>
      </c>
    </row>
    <row r="4" spans="2:9">
      <c r="B4" s="9" t="s">
        <v>30</v>
      </c>
      <c r="C4" s="9" t="s">
        <v>39</v>
      </c>
      <c r="D4" s="58"/>
    </row>
    <row r="5" spans="2:9">
      <c r="B5" s="9" t="s">
        <v>30</v>
      </c>
      <c r="C5" s="9" t="s">
        <v>40</v>
      </c>
      <c r="D5" s="58"/>
      <c r="H5" s="6" t="s">
        <v>226</v>
      </c>
      <c r="I5" t="s">
        <v>227</v>
      </c>
    </row>
    <row r="6" spans="2:9">
      <c r="B6" s="9" t="s">
        <v>30</v>
      </c>
      <c r="C6" s="9" t="s">
        <v>41</v>
      </c>
      <c r="D6" s="58"/>
      <c r="I6" t="s">
        <v>228</v>
      </c>
    </row>
    <row r="7" spans="2:9">
      <c r="B7" s="9" t="s">
        <v>30</v>
      </c>
      <c r="C7" s="9" t="s">
        <v>42</v>
      </c>
      <c r="D7" s="58"/>
      <c r="I7" t="s">
        <v>229</v>
      </c>
    </row>
    <row r="8" spans="2:9">
      <c r="B8" s="9" t="s">
        <v>30</v>
      </c>
      <c r="C8" s="9" t="s">
        <v>43</v>
      </c>
      <c r="D8" s="58"/>
    </row>
    <row r="9" spans="2:9">
      <c r="B9" s="9" t="s">
        <v>30</v>
      </c>
      <c r="C9" s="9" t="s">
        <v>44</v>
      </c>
      <c r="D9" s="58"/>
      <c r="I9">
        <v>100</v>
      </c>
    </row>
    <row r="10" spans="2:9">
      <c r="B10" s="9" t="s">
        <v>30</v>
      </c>
      <c r="C10" s="9" t="s">
        <v>45</v>
      </c>
      <c r="D10" s="58"/>
      <c r="I10">
        <v>10</v>
      </c>
    </row>
    <row r="11" spans="2:9">
      <c r="B11" s="9" t="s">
        <v>30</v>
      </c>
      <c r="C11" s="9" t="s">
        <v>46</v>
      </c>
      <c r="D11" s="58"/>
      <c r="I11" t="s">
        <v>230</v>
      </c>
    </row>
    <row r="12" spans="2:9">
      <c r="B12" s="9" t="s">
        <v>30</v>
      </c>
      <c r="C12" s="9" t="s">
        <v>47</v>
      </c>
      <c r="D12" s="58"/>
    </row>
    <row r="13" spans="2:9">
      <c r="I13" s="8" t="s">
        <v>231</v>
      </c>
    </row>
    <row r="14" spans="2:9">
      <c r="B14" s="35" t="s">
        <v>28</v>
      </c>
      <c r="C14" s="35" t="s">
        <v>29</v>
      </c>
      <c r="I14" t="s">
        <v>232</v>
      </c>
    </row>
    <row r="15" spans="2:9">
      <c r="B15" s="9" t="s">
        <v>48</v>
      </c>
      <c r="C15" s="9" t="s">
        <v>49</v>
      </c>
      <c r="D15" s="58" t="s">
        <v>175</v>
      </c>
      <c r="I15" t="s">
        <v>233</v>
      </c>
    </row>
    <row r="16" spans="2:9">
      <c r="B16" s="9" t="s">
        <v>48</v>
      </c>
      <c r="C16" s="9" t="s">
        <v>50</v>
      </c>
      <c r="D16" s="58"/>
    </row>
    <row r="17" spans="2:4">
      <c r="B17" s="9" t="s">
        <v>48</v>
      </c>
      <c r="C17" s="9" t="s">
        <v>51</v>
      </c>
      <c r="D17" s="58"/>
    </row>
    <row r="18" spans="2:4">
      <c r="B18" s="9" t="s">
        <v>48</v>
      </c>
      <c r="C18" s="9" t="s">
        <v>52</v>
      </c>
      <c r="D18" s="58"/>
    </row>
    <row r="19" spans="2:4">
      <c r="B19" s="9" t="s">
        <v>48</v>
      </c>
      <c r="C19" s="9" t="s">
        <v>53</v>
      </c>
      <c r="D19" s="58"/>
    </row>
    <row r="20" spans="2:4">
      <c r="B20" s="9" t="s">
        <v>48</v>
      </c>
      <c r="C20" s="9" t="s">
        <v>54</v>
      </c>
      <c r="D20" s="58"/>
    </row>
    <row r="21" spans="2:4">
      <c r="B21" s="9" t="s">
        <v>48</v>
      </c>
      <c r="C21" s="9" t="s">
        <v>55</v>
      </c>
      <c r="D21" s="58"/>
    </row>
    <row r="22" spans="2:4">
      <c r="B22" s="9" t="s">
        <v>48</v>
      </c>
      <c r="C22" s="9" t="s">
        <v>56</v>
      </c>
      <c r="D22" s="58"/>
    </row>
    <row r="23" spans="2:4">
      <c r="B23" s="9" t="s">
        <v>48</v>
      </c>
      <c r="C23" s="21" t="s">
        <v>100</v>
      </c>
      <c r="D23" s="58"/>
    </row>
    <row r="24" spans="2:4">
      <c r="B24" s="9" t="s">
        <v>48</v>
      </c>
      <c r="C24" s="9" t="s">
        <v>87</v>
      </c>
      <c r="D24" s="58"/>
    </row>
    <row r="25" spans="2:4">
      <c r="B25" s="9" t="s">
        <v>48</v>
      </c>
      <c r="C25" s="9" t="s">
        <v>88</v>
      </c>
      <c r="D25" s="58"/>
    </row>
    <row r="28" spans="2:4">
      <c r="B28" t="s">
        <v>158</v>
      </c>
    </row>
    <row r="29" spans="2:4">
      <c r="B29" t="s">
        <v>159</v>
      </c>
    </row>
    <row r="31" spans="2:4">
      <c r="B31" t="s">
        <v>156</v>
      </c>
    </row>
    <row r="32" spans="2:4">
      <c r="B32" t="s">
        <v>174</v>
      </c>
    </row>
    <row r="33" spans="2:2">
      <c r="B33" t="s">
        <v>157</v>
      </c>
    </row>
  </sheetData>
  <mergeCells count="2">
    <mergeCell ref="D3:D12"/>
    <mergeCell ref="D15:D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2A6B-31F7-43F2-9C83-6834FD194AC4}">
  <dimension ref="B2:AZ1233"/>
  <sheetViews>
    <sheetView workbookViewId="0">
      <pane ySplit="3" topLeftCell="A781" activePane="bottomLeft" state="frozen"/>
      <selection pane="bottomLeft" activeCell="A9" sqref="A2:AZ1233"/>
    </sheetView>
  </sheetViews>
  <sheetFormatPr defaultRowHeight="14.4"/>
  <cols>
    <col min="2" max="2" width="5" bestFit="1" customWidth="1"/>
    <col min="3" max="3" width="7.77734375" bestFit="1" customWidth="1"/>
    <col min="4" max="4" width="10.33203125" bestFit="1" customWidth="1"/>
    <col min="5" max="5" width="50.6640625" bestFit="1" customWidth="1"/>
    <col min="6" max="6" width="11.77734375" bestFit="1" customWidth="1"/>
    <col min="36" max="36" width="7.21875" bestFit="1" customWidth="1"/>
    <col min="37" max="37" width="22.88671875" bestFit="1" customWidth="1"/>
    <col min="38" max="38" width="50.6640625" bestFit="1" customWidth="1"/>
  </cols>
  <sheetData>
    <row r="2" spans="2:52">
      <c r="H2" s="62" t="s">
        <v>234</v>
      </c>
      <c r="I2" s="62"/>
      <c r="J2" s="62"/>
      <c r="K2" s="62"/>
      <c r="L2" s="62"/>
      <c r="M2" s="62"/>
      <c r="N2" s="62"/>
      <c r="O2" s="62"/>
      <c r="P2" s="62"/>
      <c r="Q2" s="62"/>
      <c r="R2" s="62"/>
      <c r="S2" s="62"/>
      <c r="T2" s="62"/>
      <c r="U2" s="62"/>
      <c r="V2" s="61" t="s">
        <v>225</v>
      </c>
      <c r="W2" s="61"/>
      <c r="X2" s="61"/>
      <c r="Y2" s="61"/>
      <c r="Z2" s="61"/>
      <c r="AA2" s="61"/>
      <c r="AB2" s="61"/>
      <c r="AC2" s="61"/>
      <c r="AD2" s="61"/>
      <c r="AE2" s="61"/>
      <c r="AF2" s="61"/>
      <c r="AG2" s="61"/>
      <c r="AH2" s="61"/>
      <c r="AI2" s="61"/>
    </row>
    <row r="3" spans="2:52" s="36" customFormat="1">
      <c r="B3" s="36" t="s">
        <v>223</v>
      </c>
      <c r="C3" s="36" t="s">
        <v>224</v>
      </c>
      <c r="D3" s="36" t="s">
        <v>199</v>
      </c>
      <c r="E3" s="41" t="s">
        <v>28</v>
      </c>
      <c r="F3" s="36" t="s">
        <v>225</v>
      </c>
      <c r="G3" s="36" t="s">
        <v>182</v>
      </c>
      <c r="H3" s="46">
        <v>0.83333333333333337</v>
      </c>
      <c r="I3" s="46">
        <v>0.875</v>
      </c>
      <c r="J3" s="46">
        <v>0.91666666666666696</v>
      </c>
      <c r="K3" s="46">
        <v>0.95833333333333304</v>
      </c>
      <c r="L3" s="46">
        <v>1</v>
      </c>
      <c r="M3" s="46">
        <v>1.0416666666666701</v>
      </c>
      <c r="N3" s="46">
        <v>1.0833333333333299</v>
      </c>
      <c r="O3" s="46">
        <v>1.125</v>
      </c>
      <c r="P3" s="46">
        <v>1.1666666666666701</v>
      </c>
      <c r="Q3" s="46">
        <v>1.2083333333333299</v>
      </c>
      <c r="R3" s="46">
        <v>1.25</v>
      </c>
      <c r="S3" s="46">
        <v>1.2916666666666701</v>
      </c>
      <c r="T3" s="46">
        <v>1.3333333333333299</v>
      </c>
      <c r="U3" s="46">
        <v>1.375</v>
      </c>
      <c r="V3" s="45">
        <v>0.83333333333333337</v>
      </c>
      <c r="W3" s="45">
        <v>0.875</v>
      </c>
      <c r="X3" s="45">
        <v>0.91666666666666696</v>
      </c>
      <c r="Y3" s="45">
        <v>0.95833333333333304</v>
      </c>
      <c r="Z3" s="45">
        <v>1</v>
      </c>
      <c r="AA3" s="45">
        <v>1.0416666666666701</v>
      </c>
      <c r="AB3" s="45">
        <v>1.0833333333333299</v>
      </c>
      <c r="AC3" s="45">
        <v>1.125</v>
      </c>
      <c r="AD3" s="45">
        <v>1.1666666666666701</v>
      </c>
      <c r="AE3" s="45">
        <v>1.2083333333333299</v>
      </c>
      <c r="AF3" s="45">
        <v>1.25</v>
      </c>
      <c r="AG3" s="45">
        <v>1.2916666666666701</v>
      </c>
      <c r="AH3" s="45">
        <v>1.3333333333333299</v>
      </c>
      <c r="AI3" s="45">
        <v>1.375</v>
      </c>
      <c r="AJ3" s="38" t="s">
        <v>199</v>
      </c>
      <c r="AK3" s="38" t="s">
        <v>28</v>
      </c>
      <c r="AL3" s="38" t="s">
        <v>200</v>
      </c>
      <c r="AM3" s="39" t="s">
        <v>201</v>
      </c>
      <c r="AN3" s="39">
        <v>0.875</v>
      </c>
      <c r="AO3" s="39">
        <v>0.91666666666666663</v>
      </c>
      <c r="AP3" s="39">
        <v>0.95833333333333337</v>
      </c>
      <c r="AQ3" s="39">
        <v>0</v>
      </c>
      <c r="AR3" s="39">
        <v>4.1666666666666664E-2</v>
      </c>
      <c r="AS3" s="39">
        <v>8.3333333333333329E-2</v>
      </c>
      <c r="AT3" s="39">
        <v>0.125</v>
      </c>
      <c r="AU3" s="39">
        <v>0.16666666666666666</v>
      </c>
      <c r="AV3" s="39">
        <v>0.20833333333333334</v>
      </c>
      <c r="AW3" s="39">
        <v>0.25</v>
      </c>
      <c r="AX3" s="39">
        <v>0.29166666666666669</v>
      </c>
      <c r="AY3" s="39">
        <v>0.33333333333333331</v>
      </c>
      <c r="AZ3" s="39">
        <v>0.375</v>
      </c>
    </row>
    <row r="4" spans="2:52">
      <c r="B4" t="str">
        <f>TEXT(C4,"MMM")</f>
        <v>May</v>
      </c>
      <c r="C4" s="43">
        <f>AJ4+(8-WEEKDAY(AJ4))</f>
        <v>46145</v>
      </c>
      <c r="D4" s="44">
        <f>AJ4</f>
        <v>46143</v>
      </c>
      <c r="E4" s="9" t="s">
        <v>31</v>
      </c>
      <c r="F4">
        <f>IF(SUM(V4:AI4)&lt;=0,0,SUM(V4:AI4))</f>
        <v>0</v>
      </c>
      <c r="G4" t="e">
        <f>SUM(H4:U4)+AZ4-#REF!</f>
        <v>#REF!</v>
      </c>
      <c r="AJ4" s="40">
        <v>46143</v>
      </c>
      <c r="AK4" s="9" t="s">
        <v>204</v>
      </c>
      <c r="AL4" s="9" t="s">
        <v>31</v>
      </c>
      <c r="AM4" s="9"/>
      <c r="AN4" s="9">
        <v>140</v>
      </c>
      <c r="AO4" s="9">
        <v>147</v>
      </c>
      <c r="AP4" s="9">
        <v>198</v>
      </c>
      <c r="AQ4" s="9">
        <v>182</v>
      </c>
      <c r="AR4" s="9">
        <v>165</v>
      </c>
      <c r="AS4" s="9">
        <v>240</v>
      </c>
      <c r="AT4" s="9">
        <v>231</v>
      </c>
      <c r="AU4" s="9">
        <v>240</v>
      </c>
      <c r="AV4" s="9">
        <v>236</v>
      </c>
      <c r="AW4" s="9">
        <v>220</v>
      </c>
      <c r="AX4" s="9">
        <v>213</v>
      </c>
      <c r="AY4" s="9">
        <v>206</v>
      </c>
      <c r="AZ4" s="9">
        <v>224</v>
      </c>
    </row>
    <row r="5" spans="2:52">
      <c r="B5" t="str">
        <f t="shared" ref="B5:B68" si="0">TEXT(C5,"MMM")</f>
        <v>May</v>
      </c>
      <c r="C5" s="43">
        <f t="shared" ref="C5:C68" si="1">AJ5+(8-WEEKDAY(AJ5))</f>
        <v>46145</v>
      </c>
      <c r="D5" s="44">
        <f t="shared" ref="D5:D68" si="2">AJ5</f>
        <v>46143</v>
      </c>
      <c r="E5" s="9" t="s">
        <v>39</v>
      </c>
      <c r="F5">
        <f t="shared" ref="F5:F68" si="3">IF(SUM(V5:AI5)&lt;=0,0,SUM(V5:AI5))</f>
        <v>0</v>
      </c>
      <c r="G5" t="e">
        <f>SUM(H5:U5)+AZ5-#REF!</f>
        <v>#REF!</v>
      </c>
      <c r="AJ5" s="40">
        <v>46143</v>
      </c>
      <c r="AK5" s="9" t="s">
        <v>205</v>
      </c>
      <c r="AL5" s="9" t="s">
        <v>39</v>
      </c>
      <c r="AM5" s="9"/>
      <c r="AN5" s="9">
        <v>46</v>
      </c>
      <c r="AO5" s="9">
        <v>54</v>
      </c>
      <c r="AP5" s="9">
        <v>0</v>
      </c>
      <c r="AQ5" s="9">
        <v>4</v>
      </c>
      <c r="AR5" s="9">
        <v>66</v>
      </c>
      <c r="AS5" s="9">
        <v>63</v>
      </c>
      <c r="AT5" s="9">
        <v>77</v>
      </c>
      <c r="AU5" s="9">
        <v>117</v>
      </c>
      <c r="AV5" s="9">
        <v>104</v>
      </c>
      <c r="AW5" s="9">
        <v>92</v>
      </c>
      <c r="AX5" s="9">
        <v>86</v>
      </c>
      <c r="AY5" s="9">
        <v>78</v>
      </c>
      <c r="AZ5" s="9">
        <v>82</v>
      </c>
    </row>
    <row r="6" spans="2:52">
      <c r="B6" t="str">
        <f t="shared" si="0"/>
        <v>May</v>
      </c>
      <c r="C6" s="43">
        <f t="shared" si="1"/>
        <v>46145</v>
      </c>
      <c r="D6" s="44">
        <f t="shared" si="2"/>
        <v>46143</v>
      </c>
      <c r="E6" s="9" t="s">
        <v>40</v>
      </c>
      <c r="F6">
        <f t="shared" si="3"/>
        <v>0</v>
      </c>
      <c r="G6" t="e">
        <f>SUM(H6:U6)+AZ6-#REF!</f>
        <v>#REF!</v>
      </c>
      <c r="AJ6" s="40">
        <v>46143</v>
      </c>
      <c r="AK6" s="9" t="s">
        <v>205</v>
      </c>
      <c r="AL6" s="9" t="s">
        <v>40</v>
      </c>
      <c r="AM6" s="9"/>
      <c r="AN6" s="9">
        <v>63</v>
      </c>
      <c r="AO6" s="9">
        <v>43</v>
      </c>
      <c r="AP6" s="9">
        <v>0</v>
      </c>
      <c r="AQ6" s="9">
        <v>21</v>
      </c>
      <c r="AR6" s="9">
        <v>29</v>
      </c>
      <c r="AS6" s="9">
        <v>23</v>
      </c>
      <c r="AT6" s="9">
        <v>14</v>
      </c>
      <c r="AU6" s="9">
        <v>14</v>
      </c>
      <c r="AV6" s="9">
        <v>20</v>
      </c>
      <c r="AW6" s="9">
        <v>12</v>
      </c>
      <c r="AX6" s="9">
        <v>21</v>
      </c>
      <c r="AY6" s="9">
        <v>14</v>
      </c>
      <c r="AZ6" s="9">
        <v>24</v>
      </c>
    </row>
    <row r="7" spans="2:52">
      <c r="B7" t="str">
        <f t="shared" si="0"/>
        <v>May</v>
      </c>
      <c r="C7" s="43">
        <f t="shared" si="1"/>
        <v>46145</v>
      </c>
      <c r="D7" s="44">
        <f t="shared" si="2"/>
        <v>46143</v>
      </c>
      <c r="E7" s="9" t="s">
        <v>41</v>
      </c>
      <c r="F7">
        <f t="shared" si="3"/>
        <v>0</v>
      </c>
      <c r="G7" t="e">
        <f>SUM(H7:U7)+AZ7-#REF!</f>
        <v>#REF!</v>
      </c>
      <c r="AJ7" s="40">
        <v>46143</v>
      </c>
      <c r="AK7" s="9" t="s">
        <v>41</v>
      </c>
      <c r="AL7" s="9" t="s">
        <v>41</v>
      </c>
      <c r="AM7" s="9"/>
      <c r="AN7" s="9">
        <v>35</v>
      </c>
      <c r="AO7" s="9">
        <v>35</v>
      </c>
      <c r="AP7" s="9">
        <v>39</v>
      </c>
      <c r="AQ7" s="9">
        <v>38</v>
      </c>
      <c r="AR7" s="9">
        <v>42</v>
      </c>
      <c r="AS7" s="9">
        <v>83</v>
      </c>
      <c r="AT7" s="9">
        <v>81</v>
      </c>
      <c r="AU7" s="9">
        <v>58</v>
      </c>
      <c r="AV7" s="9">
        <v>63</v>
      </c>
      <c r="AW7" s="9">
        <v>60</v>
      </c>
      <c r="AX7" s="9">
        <v>65</v>
      </c>
      <c r="AY7" s="9">
        <v>63</v>
      </c>
      <c r="AZ7" s="9">
        <v>67</v>
      </c>
    </row>
    <row r="8" spans="2:52">
      <c r="B8" t="str">
        <f t="shared" si="0"/>
        <v>May</v>
      </c>
      <c r="C8" s="43">
        <f t="shared" si="1"/>
        <v>46145</v>
      </c>
      <c r="D8" s="44">
        <f t="shared" si="2"/>
        <v>46143</v>
      </c>
      <c r="E8" s="9" t="s">
        <v>45</v>
      </c>
      <c r="F8">
        <f t="shared" si="3"/>
        <v>0</v>
      </c>
      <c r="G8" t="e">
        <f>SUM(H8:U8)+AZ8-#REF!</f>
        <v>#REF!</v>
      </c>
      <c r="AJ8" s="40">
        <v>46143</v>
      </c>
      <c r="AK8" s="9" t="s">
        <v>202</v>
      </c>
      <c r="AL8" s="9" t="s">
        <v>45</v>
      </c>
      <c r="AM8" s="9"/>
      <c r="AN8" s="9">
        <v>46</v>
      </c>
      <c r="AO8" s="9">
        <v>0</v>
      </c>
      <c r="AP8" s="9">
        <v>0</v>
      </c>
      <c r="AQ8" s="9">
        <v>0</v>
      </c>
      <c r="AR8" s="9">
        <v>28</v>
      </c>
      <c r="AS8" s="9">
        <v>130</v>
      </c>
      <c r="AT8" s="9">
        <v>129</v>
      </c>
      <c r="AU8" s="9">
        <v>103</v>
      </c>
      <c r="AV8" s="9">
        <v>111</v>
      </c>
      <c r="AW8" s="9">
        <v>151</v>
      </c>
      <c r="AX8" s="9">
        <v>151</v>
      </c>
      <c r="AY8" s="9">
        <v>153</v>
      </c>
      <c r="AZ8" s="9">
        <v>220</v>
      </c>
    </row>
    <row r="9" spans="2:52">
      <c r="B9" t="str">
        <f t="shared" si="0"/>
        <v>May</v>
      </c>
      <c r="C9" s="43">
        <f t="shared" si="1"/>
        <v>46145</v>
      </c>
      <c r="D9" s="44">
        <f t="shared" si="2"/>
        <v>46143</v>
      </c>
      <c r="E9" s="9" t="s">
        <v>46</v>
      </c>
      <c r="F9">
        <f t="shared" si="3"/>
        <v>0</v>
      </c>
      <c r="G9" t="e">
        <f>SUM(H9:U9)+AZ9-#REF!</f>
        <v>#REF!</v>
      </c>
      <c r="AJ9" s="40">
        <v>46143</v>
      </c>
      <c r="AK9" s="9" t="s">
        <v>202</v>
      </c>
      <c r="AL9" s="9" t="s">
        <v>46</v>
      </c>
      <c r="AM9" s="9"/>
      <c r="AN9" s="9">
        <v>0</v>
      </c>
      <c r="AO9" s="9">
        <v>0</v>
      </c>
      <c r="AP9" s="9">
        <v>5</v>
      </c>
      <c r="AQ9" s="9">
        <v>4</v>
      </c>
      <c r="AR9" s="9">
        <v>9</v>
      </c>
      <c r="AS9" s="9">
        <v>8</v>
      </c>
      <c r="AT9" s="9">
        <v>6</v>
      </c>
      <c r="AU9" s="9">
        <v>9</v>
      </c>
      <c r="AV9" s="9">
        <v>28</v>
      </c>
      <c r="AW9" s="9">
        <v>0</v>
      </c>
      <c r="AX9" s="9">
        <v>0</v>
      </c>
      <c r="AY9" s="9">
        <v>3</v>
      </c>
      <c r="AZ9" s="9">
        <v>8</v>
      </c>
    </row>
    <row r="10" spans="2:52">
      <c r="B10" t="str">
        <f t="shared" si="0"/>
        <v>May</v>
      </c>
      <c r="C10" s="43">
        <f t="shared" si="1"/>
        <v>46145</v>
      </c>
      <c r="D10" s="44">
        <f t="shared" si="2"/>
        <v>46143</v>
      </c>
      <c r="E10" s="9" t="s">
        <v>47</v>
      </c>
      <c r="F10">
        <f t="shared" si="3"/>
        <v>0</v>
      </c>
      <c r="G10" t="e">
        <f>SUM(H10:U10)+AZ10-#REF!</f>
        <v>#REF!</v>
      </c>
      <c r="AJ10" s="40">
        <v>46143</v>
      </c>
      <c r="AK10" s="9" t="s">
        <v>202</v>
      </c>
      <c r="AL10" s="9" t="s">
        <v>47</v>
      </c>
      <c r="AM10" s="9"/>
      <c r="AN10" s="9">
        <v>0</v>
      </c>
      <c r="AO10" s="9">
        <v>0</v>
      </c>
      <c r="AP10" s="9">
        <v>4</v>
      </c>
      <c r="AQ10" s="9">
        <v>51</v>
      </c>
      <c r="AR10" s="9">
        <v>0</v>
      </c>
      <c r="AS10" s="9">
        <v>4</v>
      </c>
      <c r="AT10" s="9">
        <v>2</v>
      </c>
      <c r="AU10" s="9">
        <v>5</v>
      </c>
      <c r="AV10" s="9">
        <v>6</v>
      </c>
      <c r="AW10" s="9">
        <v>0</v>
      </c>
      <c r="AX10" s="9">
        <v>4</v>
      </c>
      <c r="AY10" s="9">
        <v>8</v>
      </c>
      <c r="AZ10" s="9">
        <v>0</v>
      </c>
    </row>
    <row r="11" spans="2:52">
      <c r="B11" t="str">
        <f t="shared" si="0"/>
        <v>May</v>
      </c>
      <c r="C11" s="43">
        <f t="shared" si="1"/>
        <v>46145</v>
      </c>
      <c r="D11" s="44">
        <f t="shared" si="2"/>
        <v>46143</v>
      </c>
      <c r="E11" s="9" t="s">
        <v>206</v>
      </c>
      <c r="F11">
        <f t="shared" si="3"/>
        <v>0</v>
      </c>
      <c r="G11" t="e">
        <f>SUM(H11:U11)+AZ11-#REF!</f>
        <v>#REF!</v>
      </c>
      <c r="AJ11" s="40">
        <v>46143</v>
      </c>
      <c r="AK11" s="9" t="s">
        <v>43</v>
      </c>
      <c r="AL11" s="9" t="s">
        <v>206</v>
      </c>
      <c r="AM11" s="9"/>
      <c r="AN11" s="9">
        <v>55</v>
      </c>
      <c r="AO11" s="9">
        <v>51</v>
      </c>
      <c r="AP11" s="9">
        <v>84</v>
      </c>
      <c r="AQ11" s="9">
        <v>82</v>
      </c>
      <c r="AR11" s="9">
        <v>78</v>
      </c>
      <c r="AS11" s="9">
        <v>79</v>
      </c>
      <c r="AT11" s="9">
        <v>72</v>
      </c>
      <c r="AU11" s="9">
        <v>73</v>
      </c>
      <c r="AV11" s="9">
        <v>75</v>
      </c>
      <c r="AW11" s="9">
        <v>74</v>
      </c>
      <c r="AX11" s="9">
        <v>72</v>
      </c>
      <c r="AY11" s="9">
        <v>124</v>
      </c>
      <c r="AZ11" s="9">
        <v>134</v>
      </c>
    </row>
    <row r="12" spans="2:52">
      <c r="B12" t="str">
        <f t="shared" si="0"/>
        <v>May</v>
      </c>
      <c r="C12" s="43">
        <f t="shared" si="1"/>
        <v>46145</v>
      </c>
      <c r="D12" s="44">
        <f t="shared" si="2"/>
        <v>46143</v>
      </c>
      <c r="E12" s="9" t="s">
        <v>207</v>
      </c>
      <c r="F12">
        <f t="shared" si="3"/>
        <v>0</v>
      </c>
      <c r="G12" t="e">
        <f>SUM(H12:U12)+AZ12-#REF!</f>
        <v>#REF!</v>
      </c>
      <c r="AJ12" s="40">
        <v>46143</v>
      </c>
      <c r="AK12" s="9" t="s">
        <v>203</v>
      </c>
      <c r="AL12" s="9" t="s">
        <v>207</v>
      </c>
      <c r="AM12" s="9"/>
      <c r="AN12" s="9">
        <v>51</v>
      </c>
      <c r="AO12" s="9">
        <v>52</v>
      </c>
      <c r="AP12" s="9">
        <v>48</v>
      </c>
      <c r="AQ12" s="9">
        <v>53</v>
      </c>
      <c r="AR12" s="9">
        <v>240</v>
      </c>
      <c r="AS12" s="9">
        <v>232</v>
      </c>
      <c r="AT12" s="9">
        <v>227</v>
      </c>
      <c r="AU12" s="9">
        <v>220</v>
      </c>
      <c r="AV12" s="9">
        <v>228</v>
      </c>
      <c r="AW12" s="9">
        <v>227</v>
      </c>
      <c r="AX12" s="9">
        <v>207</v>
      </c>
      <c r="AY12" s="9">
        <v>205</v>
      </c>
      <c r="AZ12" s="9">
        <v>203</v>
      </c>
    </row>
    <row r="13" spans="2:52">
      <c r="B13" t="str">
        <f t="shared" si="0"/>
        <v>May</v>
      </c>
      <c r="C13" s="43">
        <f t="shared" si="1"/>
        <v>46145</v>
      </c>
      <c r="D13" s="44">
        <f t="shared" si="2"/>
        <v>46143</v>
      </c>
      <c r="E13" s="9" t="s">
        <v>42</v>
      </c>
      <c r="F13">
        <f t="shared" si="3"/>
        <v>0</v>
      </c>
      <c r="G13" t="e">
        <f>SUM(H13:U13)+AZ13-#REF!</f>
        <v>#REF!</v>
      </c>
      <c r="AJ13" s="40">
        <v>46143</v>
      </c>
      <c r="AK13" s="9" t="s">
        <v>42</v>
      </c>
      <c r="AL13" s="9" t="s">
        <v>42</v>
      </c>
      <c r="AM13" s="9"/>
      <c r="AN13" s="9">
        <v>56</v>
      </c>
      <c r="AO13" s="9">
        <v>58</v>
      </c>
      <c r="AP13" s="9">
        <v>102</v>
      </c>
      <c r="AQ13" s="9">
        <v>160</v>
      </c>
      <c r="AR13" s="9">
        <v>159</v>
      </c>
      <c r="AS13" s="9">
        <v>0</v>
      </c>
      <c r="AT13" s="9">
        <v>1</v>
      </c>
      <c r="AU13" s="9">
        <v>4</v>
      </c>
      <c r="AV13" s="9">
        <v>50</v>
      </c>
      <c r="AW13" s="9">
        <v>52</v>
      </c>
      <c r="AX13" s="9">
        <v>38</v>
      </c>
      <c r="AY13" s="9">
        <v>104</v>
      </c>
      <c r="AZ13" s="9">
        <v>0</v>
      </c>
    </row>
    <row r="14" spans="2:52">
      <c r="B14" t="str">
        <f t="shared" si="0"/>
        <v>May</v>
      </c>
      <c r="C14" s="43">
        <f t="shared" si="1"/>
        <v>46145</v>
      </c>
      <c r="D14" s="44">
        <f t="shared" si="2"/>
        <v>46144</v>
      </c>
      <c r="E14" s="9" t="s">
        <v>31</v>
      </c>
      <c r="F14">
        <f t="shared" si="3"/>
        <v>0</v>
      </c>
      <c r="G14">
        <f>SUM(H14:U14)+AZ14-AZ4</f>
        <v>-224</v>
      </c>
      <c r="AJ14" s="40">
        <v>46144</v>
      </c>
      <c r="AK14" s="9" t="s">
        <v>204</v>
      </c>
      <c r="AL14" s="9" t="s">
        <v>31</v>
      </c>
      <c r="AM14" s="9"/>
      <c r="AN14" s="9">
        <v>142</v>
      </c>
      <c r="AO14" s="9">
        <v>0</v>
      </c>
      <c r="AP14" s="9">
        <v>0</v>
      </c>
      <c r="AQ14" s="9">
        <v>12</v>
      </c>
      <c r="AR14" s="9">
        <v>24</v>
      </c>
      <c r="AS14" s="9">
        <v>59</v>
      </c>
      <c r="AT14" s="9">
        <v>103</v>
      </c>
      <c r="AU14" s="9">
        <v>110</v>
      </c>
      <c r="AV14" s="9">
        <v>103</v>
      </c>
      <c r="AW14" s="9">
        <v>123</v>
      </c>
      <c r="AX14" s="9">
        <v>126</v>
      </c>
      <c r="AY14" s="9">
        <v>0</v>
      </c>
      <c r="AZ14" s="9">
        <v>0</v>
      </c>
    </row>
    <row r="15" spans="2:52">
      <c r="B15" t="str">
        <f t="shared" si="0"/>
        <v>May</v>
      </c>
      <c r="C15" s="43">
        <f t="shared" si="1"/>
        <v>46145</v>
      </c>
      <c r="D15" s="44">
        <f t="shared" si="2"/>
        <v>46144</v>
      </c>
      <c r="E15" s="9" t="s">
        <v>39</v>
      </c>
      <c r="F15">
        <f t="shared" si="3"/>
        <v>0</v>
      </c>
      <c r="G15">
        <f t="shared" ref="G15:G78" si="4">SUM(H15:U15)+AZ15-AZ5</f>
        <v>-78</v>
      </c>
      <c r="AJ15" s="40">
        <v>46144</v>
      </c>
      <c r="AK15" s="9" t="s">
        <v>205</v>
      </c>
      <c r="AL15" s="9" t="s">
        <v>39</v>
      </c>
      <c r="AM15" s="9"/>
      <c r="AN15" s="9">
        <v>62</v>
      </c>
      <c r="AO15" s="9">
        <v>69</v>
      </c>
      <c r="AP15" s="9">
        <v>71</v>
      </c>
      <c r="AQ15" s="9">
        <v>72</v>
      </c>
      <c r="AR15" s="9">
        <v>79</v>
      </c>
      <c r="AS15" s="9">
        <v>0</v>
      </c>
      <c r="AT15" s="9">
        <v>6</v>
      </c>
      <c r="AU15" s="9">
        <v>0</v>
      </c>
      <c r="AV15" s="9">
        <v>14</v>
      </c>
      <c r="AW15" s="9">
        <v>4</v>
      </c>
      <c r="AX15" s="9">
        <v>21</v>
      </c>
      <c r="AY15" s="9">
        <v>37</v>
      </c>
      <c r="AZ15" s="9">
        <v>4</v>
      </c>
    </row>
    <row r="16" spans="2:52">
      <c r="B16" t="str">
        <f t="shared" si="0"/>
        <v>May</v>
      </c>
      <c r="C16" s="43">
        <f t="shared" si="1"/>
        <v>46145</v>
      </c>
      <c r="D16" s="44">
        <f t="shared" si="2"/>
        <v>46144</v>
      </c>
      <c r="E16" s="9" t="s">
        <v>40</v>
      </c>
      <c r="F16">
        <f t="shared" si="3"/>
        <v>0</v>
      </c>
      <c r="G16">
        <f t="shared" si="4"/>
        <v>87</v>
      </c>
      <c r="AJ16" s="40">
        <v>46144</v>
      </c>
      <c r="AK16" s="9" t="s">
        <v>205</v>
      </c>
      <c r="AL16" s="9" t="s">
        <v>40</v>
      </c>
      <c r="AM16" s="9"/>
      <c r="AN16" s="9">
        <v>57</v>
      </c>
      <c r="AO16" s="9">
        <v>69</v>
      </c>
      <c r="AP16" s="9">
        <v>109</v>
      </c>
      <c r="AQ16" s="9">
        <v>104</v>
      </c>
      <c r="AR16" s="9">
        <v>107</v>
      </c>
      <c r="AS16" s="9">
        <v>104</v>
      </c>
      <c r="AT16" s="9">
        <v>120</v>
      </c>
      <c r="AU16" s="9">
        <v>127</v>
      </c>
      <c r="AV16" s="9">
        <v>124</v>
      </c>
      <c r="AW16" s="9">
        <v>121</v>
      </c>
      <c r="AX16" s="9">
        <v>116</v>
      </c>
      <c r="AY16" s="9">
        <v>118</v>
      </c>
      <c r="AZ16" s="9">
        <v>111</v>
      </c>
    </row>
    <row r="17" spans="2:52">
      <c r="B17" t="str">
        <f t="shared" si="0"/>
        <v>May</v>
      </c>
      <c r="C17" s="43">
        <f t="shared" si="1"/>
        <v>46145</v>
      </c>
      <c r="D17" s="44">
        <f t="shared" si="2"/>
        <v>46144</v>
      </c>
      <c r="E17" s="9" t="s">
        <v>41</v>
      </c>
      <c r="F17">
        <f t="shared" si="3"/>
        <v>0</v>
      </c>
      <c r="G17">
        <f>SUM(H17:U17)+AZ17-AZ7</f>
        <v>-58</v>
      </c>
      <c r="AJ17" s="40">
        <v>46144</v>
      </c>
      <c r="AK17" s="9" t="s">
        <v>41</v>
      </c>
      <c r="AL17" s="9" t="s">
        <v>41</v>
      </c>
      <c r="AM17" s="9"/>
      <c r="AN17" s="9">
        <v>43</v>
      </c>
      <c r="AO17" s="9">
        <v>88</v>
      </c>
      <c r="AP17" s="9">
        <v>90</v>
      </c>
      <c r="AQ17" s="9">
        <v>94</v>
      </c>
      <c r="AR17" s="9">
        <v>146</v>
      </c>
      <c r="AS17" s="9">
        <v>173</v>
      </c>
      <c r="AT17" s="9">
        <v>173</v>
      </c>
      <c r="AU17" s="9">
        <v>0</v>
      </c>
      <c r="AV17" s="9">
        <v>12</v>
      </c>
      <c r="AW17" s="9">
        <v>8</v>
      </c>
      <c r="AX17" s="9">
        <v>8</v>
      </c>
      <c r="AY17" s="9">
        <v>10</v>
      </c>
      <c r="AZ17" s="9">
        <v>9</v>
      </c>
    </row>
    <row r="18" spans="2:52">
      <c r="B18" t="str">
        <f t="shared" si="0"/>
        <v>May</v>
      </c>
      <c r="C18" s="43">
        <f t="shared" si="1"/>
        <v>46145</v>
      </c>
      <c r="D18" s="44">
        <f t="shared" si="2"/>
        <v>46144</v>
      </c>
      <c r="E18" s="9" t="s">
        <v>45</v>
      </c>
      <c r="F18">
        <f t="shared" si="3"/>
        <v>0</v>
      </c>
      <c r="G18">
        <f t="shared" si="4"/>
        <v>-149</v>
      </c>
      <c r="AJ18" s="40">
        <v>46144</v>
      </c>
      <c r="AK18" s="9" t="s">
        <v>202</v>
      </c>
      <c r="AL18" s="9" t="s">
        <v>45</v>
      </c>
      <c r="AM18" s="9"/>
      <c r="AN18" s="9">
        <v>0</v>
      </c>
      <c r="AO18" s="9">
        <v>65</v>
      </c>
      <c r="AP18" s="9">
        <v>71</v>
      </c>
      <c r="AQ18" s="9">
        <v>66</v>
      </c>
      <c r="AR18" s="9">
        <v>61</v>
      </c>
      <c r="AS18" s="9">
        <v>55</v>
      </c>
      <c r="AT18" s="9">
        <v>56</v>
      </c>
      <c r="AU18" s="9">
        <v>54</v>
      </c>
      <c r="AV18" s="9">
        <v>58</v>
      </c>
      <c r="AW18" s="9">
        <v>59</v>
      </c>
      <c r="AX18" s="9">
        <v>66</v>
      </c>
      <c r="AY18" s="9">
        <v>65</v>
      </c>
      <c r="AZ18" s="9">
        <v>71</v>
      </c>
    </row>
    <row r="19" spans="2:52">
      <c r="B19" t="str">
        <f t="shared" si="0"/>
        <v>May</v>
      </c>
      <c r="C19" s="43">
        <f t="shared" si="1"/>
        <v>46145</v>
      </c>
      <c r="D19" s="44">
        <f t="shared" si="2"/>
        <v>46144</v>
      </c>
      <c r="E19" s="9" t="s">
        <v>46</v>
      </c>
      <c r="F19">
        <f t="shared" si="3"/>
        <v>0</v>
      </c>
      <c r="G19">
        <f t="shared" si="4"/>
        <v>45</v>
      </c>
      <c r="AJ19" s="40">
        <v>46144</v>
      </c>
      <c r="AK19" s="9" t="s">
        <v>202</v>
      </c>
      <c r="AL19" s="9" t="s">
        <v>46</v>
      </c>
      <c r="AM19" s="9"/>
      <c r="AN19" s="9">
        <v>7</v>
      </c>
      <c r="AO19" s="9">
        <v>3</v>
      </c>
      <c r="AP19" s="9">
        <v>3</v>
      </c>
      <c r="AQ19" s="9">
        <v>8</v>
      </c>
      <c r="AR19" s="9">
        <v>6</v>
      </c>
      <c r="AS19" s="9">
        <v>3</v>
      </c>
      <c r="AT19" s="9">
        <v>5</v>
      </c>
      <c r="AU19" s="9">
        <v>7</v>
      </c>
      <c r="AV19" s="9">
        <v>3</v>
      </c>
      <c r="AW19" s="9">
        <v>0</v>
      </c>
      <c r="AX19" s="9">
        <v>16</v>
      </c>
      <c r="AY19" s="9">
        <v>54</v>
      </c>
      <c r="AZ19" s="9">
        <v>53</v>
      </c>
    </row>
    <row r="20" spans="2:52">
      <c r="B20" t="str">
        <f t="shared" si="0"/>
        <v>May</v>
      </c>
      <c r="C20" s="43">
        <f t="shared" si="1"/>
        <v>46145</v>
      </c>
      <c r="D20" s="44">
        <f t="shared" si="2"/>
        <v>46144</v>
      </c>
      <c r="E20" s="9" t="s">
        <v>47</v>
      </c>
      <c r="F20">
        <f t="shared" si="3"/>
        <v>0</v>
      </c>
      <c r="G20">
        <f t="shared" si="4"/>
        <v>0</v>
      </c>
      <c r="AJ20" s="40">
        <v>46144</v>
      </c>
      <c r="AK20" s="9" t="s">
        <v>202</v>
      </c>
      <c r="AL20" s="9" t="s">
        <v>47</v>
      </c>
      <c r="AM20" s="9"/>
      <c r="AN20" s="9">
        <v>18</v>
      </c>
      <c r="AO20" s="9">
        <v>0</v>
      </c>
      <c r="AP20" s="9">
        <v>4</v>
      </c>
      <c r="AQ20" s="9">
        <v>0</v>
      </c>
      <c r="AR20" s="9">
        <v>2</v>
      </c>
      <c r="AS20" s="9">
        <v>0</v>
      </c>
      <c r="AT20" s="9">
        <v>6</v>
      </c>
      <c r="AU20" s="9">
        <v>9</v>
      </c>
      <c r="AV20" s="9">
        <v>11</v>
      </c>
      <c r="AW20" s="9">
        <v>0</v>
      </c>
      <c r="AX20" s="9">
        <v>0</v>
      </c>
      <c r="AY20" s="9">
        <v>0</v>
      </c>
      <c r="AZ20" s="9">
        <v>0</v>
      </c>
    </row>
    <row r="21" spans="2:52">
      <c r="B21" t="str">
        <f t="shared" si="0"/>
        <v>May</v>
      </c>
      <c r="C21" s="43">
        <f t="shared" si="1"/>
        <v>46145</v>
      </c>
      <c r="D21" s="44">
        <f t="shared" si="2"/>
        <v>46144</v>
      </c>
      <c r="E21" s="9" t="s">
        <v>206</v>
      </c>
      <c r="F21">
        <f t="shared" si="3"/>
        <v>0</v>
      </c>
      <c r="G21">
        <f t="shared" si="4"/>
        <v>-122</v>
      </c>
      <c r="AJ21" s="40">
        <v>46144</v>
      </c>
      <c r="AK21" s="9" t="s">
        <v>43</v>
      </c>
      <c r="AL21" s="9" t="s">
        <v>206</v>
      </c>
      <c r="AM21" s="9"/>
      <c r="AN21" s="9">
        <v>0</v>
      </c>
      <c r="AO21" s="9">
        <v>12</v>
      </c>
      <c r="AP21" s="9">
        <v>19</v>
      </c>
      <c r="AQ21" s="9">
        <v>17</v>
      </c>
      <c r="AR21" s="9">
        <v>22</v>
      </c>
      <c r="AS21" s="9">
        <v>0</v>
      </c>
      <c r="AT21" s="9">
        <v>0</v>
      </c>
      <c r="AU21" s="9">
        <v>4</v>
      </c>
      <c r="AV21" s="9">
        <v>2</v>
      </c>
      <c r="AW21" s="9">
        <v>0</v>
      </c>
      <c r="AX21" s="9">
        <v>0</v>
      </c>
      <c r="AY21" s="9">
        <v>8</v>
      </c>
      <c r="AZ21" s="9">
        <v>12</v>
      </c>
    </row>
    <row r="22" spans="2:52">
      <c r="B22" t="str">
        <f t="shared" si="0"/>
        <v>May</v>
      </c>
      <c r="C22" s="43">
        <f t="shared" si="1"/>
        <v>46145</v>
      </c>
      <c r="D22" s="44">
        <f t="shared" si="2"/>
        <v>46144</v>
      </c>
      <c r="E22" s="9" t="s">
        <v>207</v>
      </c>
      <c r="F22">
        <f t="shared" si="3"/>
        <v>0</v>
      </c>
      <c r="G22">
        <f t="shared" si="4"/>
        <v>-144</v>
      </c>
      <c r="AJ22" s="40">
        <v>46144</v>
      </c>
      <c r="AK22" s="9" t="s">
        <v>203</v>
      </c>
      <c r="AL22" s="9" t="s">
        <v>207</v>
      </c>
      <c r="AM22" s="9"/>
      <c r="AN22" s="9">
        <v>25</v>
      </c>
      <c r="AO22" s="9">
        <v>19</v>
      </c>
      <c r="AP22" s="9">
        <v>0</v>
      </c>
      <c r="AQ22" s="9">
        <v>3</v>
      </c>
      <c r="AR22" s="9">
        <v>30</v>
      </c>
      <c r="AS22" s="9">
        <v>0</v>
      </c>
      <c r="AT22" s="9">
        <v>0</v>
      </c>
      <c r="AU22" s="9">
        <v>0</v>
      </c>
      <c r="AV22" s="9">
        <v>0</v>
      </c>
      <c r="AW22" s="9">
        <v>0</v>
      </c>
      <c r="AX22" s="9">
        <v>26</v>
      </c>
      <c r="AY22" s="9">
        <v>55</v>
      </c>
      <c r="AZ22" s="9">
        <v>59</v>
      </c>
    </row>
    <row r="23" spans="2:52">
      <c r="B23" t="str">
        <f t="shared" si="0"/>
        <v>May</v>
      </c>
      <c r="C23" s="43">
        <f t="shared" si="1"/>
        <v>46145</v>
      </c>
      <c r="D23" s="44">
        <f t="shared" si="2"/>
        <v>46144</v>
      </c>
      <c r="E23" s="9" t="s">
        <v>42</v>
      </c>
      <c r="F23">
        <f t="shared" si="3"/>
        <v>0</v>
      </c>
      <c r="G23">
        <f t="shared" si="4"/>
        <v>6</v>
      </c>
      <c r="AJ23" s="40">
        <v>46144</v>
      </c>
      <c r="AK23" s="9" t="s">
        <v>42</v>
      </c>
      <c r="AL23" s="9" t="s">
        <v>42</v>
      </c>
      <c r="AM23" s="9"/>
      <c r="AN23" s="9">
        <v>0</v>
      </c>
      <c r="AO23" s="9">
        <v>5</v>
      </c>
      <c r="AP23" s="9">
        <v>9</v>
      </c>
      <c r="AQ23" s="9">
        <v>14</v>
      </c>
      <c r="AR23" s="9">
        <v>61</v>
      </c>
      <c r="AS23" s="9">
        <v>60</v>
      </c>
      <c r="AT23" s="9">
        <v>58</v>
      </c>
      <c r="AU23" s="9">
        <v>86</v>
      </c>
      <c r="AV23" s="9">
        <v>45</v>
      </c>
      <c r="AW23" s="9">
        <v>0</v>
      </c>
      <c r="AX23" s="9">
        <v>0</v>
      </c>
      <c r="AY23" s="9">
        <v>12</v>
      </c>
      <c r="AZ23" s="9">
        <v>6</v>
      </c>
    </row>
    <row r="24" spans="2:52">
      <c r="B24" t="str">
        <f t="shared" si="0"/>
        <v>May</v>
      </c>
      <c r="C24" s="43">
        <f t="shared" si="1"/>
        <v>46152</v>
      </c>
      <c r="D24" s="44">
        <f t="shared" si="2"/>
        <v>46145</v>
      </c>
      <c r="E24" s="9" t="s">
        <v>31</v>
      </c>
      <c r="F24">
        <f t="shared" si="3"/>
        <v>0</v>
      </c>
      <c r="G24">
        <f t="shared" si="4"/>
        <v>199</v>
      </c>
      <c r="AJ24" s="40">
        <v>46145</v>
      </c>
      <c r="AK24" s="9" t="s">
        <v>204</v>
      </c>
      <c r="AL24" s="9" t="s">
        <v>31</v>
      </c>
      <c r="AM24" s="9"/>
      <c r="AN24" s="9">
        <v>101</v>
      </c>
      <c r="AO24" s="9">
        <v>96</v>
      </c>
      <c r="AP24" s="9">
        <v>101</v>
      </c>
      <c r="AQ24" s="9">
        <v>115</v>
      </c>
      <c r="AR24" s="9">
        <v>118</v>
      </c>
      <c r="AS24" s="9">
        <v>102</v>
      </c>
      <c r="AT24" s="9">
        <v>114</v>
      </c>
      <c r="AU24" s="9">
        <v>101</v>
      </c>
      <c r="AV24" s="9">
        <v>118</v>
      </c>
      <c r="AW24" s="9">
        <v>113</v>
      </c>
      <c r="AX24" s="9">
        <v>172</v>
      </c>
      <c r="AY24" s="9">
        <v>189</v>
      </c>
      <c r="AZ24" s="9">
        <v>199</v>
      </c>
    </row>
    <row r="25" spans="2:52">
      <c r="B25" t="str">
        <f t="shared" si="0"/>
        <v>May</v>
      </c>
      <c r="C25" s="43">
        <f t="shared" si="1"/>
        <v>46152</v>
      </c>
      <c r="D25" s="44">
        <f t="shared" si="2"/>
        <v>46145</v>
      </c>
      <c r="E25" s="9" t="s">
        <v>39</v>
      </c>
      <c r="F25">
        <f t="shared" si="3"/>
        <v>0</v>
      </c>
      <c r="G25">
        <f t="shared" si="4"/>
        <v>6</v>
      </c>
      <c r="AJ25" s="40">
        <v>46145</v>
      </c>
      <c r="AK25" s="9" t="s">
        <v>205</v>
      </c>
      <c r="AL25" s="9" t="s">
        <v>39</v>
      </c>
      <c r="AM25" s="9"/>
      <c r="AN25" s="9">
        <v>0</v>
      </c>
      <c r="AO25" s="9">
        <v>0</v>
      </c>
      <c r="AP25" s="9">
        <v>39</v>
      </c>
      <c r="AQ25" s="9">
        <v>37</v>
      </c>
      <c r="AR25" s="9">
        <v>36</v>
      </c>
      <c r="AS25" s="9">
        <v>32</v>
      </c>
      <c r="AT25" s="9">
        <v>25</v>
      </c>
      <c r="AU25" s="9">
        <v>177</v>
      </c>
      <c r="AV25" s="9">
        <v>163</v>
      </c>
      <c r="AW25" s="9">
        <v>0</v>
      </c>
      <c r="AX25" s="9">
        <v>0</v>
      </c>
      <c r="AY25" s="9">
        <v>0</v>
      </c>
      <c r="AZ25" s="9">
        <v>10</v>
      </c>
    </row>
    <row r="26" spans="2:52">
      <c r="B26" t="str">
        <f t="shared" si="0"/>
        <v>May</v>
      </c>
      <c r="C26" s="43">
        <f t="shared" si="1"/>
        <v>46152</v>
      </c>
      <c r="D26" s="44">
        <f t="shared" si="2"/>
        <v>46145</v>
      </c>
      <c r="E26" s="9" t="s">
        <v>40</v>
      </c>
      <c r="F26">
        <f t="shared" si="3"/>
        <v>0</v>
      </c>
      <c r="G26">
        <f t="shared" si="4"/>
        <v>24</v>
      </c>
      <c r="AJ26" s="40">
        <v>46145</v>
      </c>
      <c r="AK26" s="9" t="s">
        <v>205</v>
      </c>
      <c r="AL26" s="9" t="s">
        <v>40</v>
      </c>
      <c r="AM26" s="9"/>
      <c r="AN26" s="9">
        <v>88</v>
      </c>
      <c r="AO26" s="9">
        <v>87</v>
      </c>
      <c r="AP26" s="9">
        <v>88</v>
      </c>
      <c r="AQ26" s="9">
        <v>100</v>
      </c>
      <c r="AR26" s="9">
        <v>92</v>
      </c>
      <c r="AS26" s="9">
        <v>97</v>
      </c>
      <c r="AT26" s="9">
        <v>105</v>
      </c>
      <c r="AU26" s="9">
        <v>114</v>
      </c>
      <c r="AV26" s="9">
        <v>117</v>
      </c>
      <c r="AW26" s="9">
        <v>123</v>
      </c>
      <c r="AX26" s="9">
        <v>134</v>
      </c>
      <c r="AY26" s="9">
        <v>142</v>
      </c>
      <c r="AZ26" s="9">
        <v>135</v>
      </c>
    </row>
    <row r="27" spans="2:52">
      <c r="B27" t="str">
        <f t="shared" si="0"/>
        <v>May</v>
      </c>
      <c r="C27" s="43">
        <f t="shared" si="1"/>
        <v>46152</v>
      </c>
      <c r="D27" s="44">
        <f t="shared" si="2"/>
        <v>46145</v>
      </c>
      <c r="E27" s="9" t="s">
        <v>41</v>
      </c>
      <c r="F27">
        <f t="shared" si="3"/>
        <v>0</v>
      </c>
      <c r="G27">
        <f t="shared" si="4"/>
        <v>3</v>
      </c>
      <c r="AJ27" s="40">
        <v>46145</v>
      </c>
      <c r="AK27" s="9" t="s">
        <v>41</v>
      </c>
      <c r="AL27" s="9" t="s">
        <v>41</v>
      </c>
      <c r="AM27" s="9"/>
      <c r="AN27" s="9">
        <v>0</v>
      </c>
      <c r="AO27" s="9">
        <v>5</v>
      </c>
      <c r="AP27" s="9">
        <v>8</v>
      </c>
      <c r="AQ27" s="9">
        <v>12</v>
      </c>
      <c r="AR27" s="9">
        <v>14</v>
      </c>
      <c r="AS27" s="9">
        <v>10</v>
      </c>
      <c r="AT27" s="9">
        <v>11</v>
      </c>
      <c r="AU27" s="9">
        <v>10</v>
      </c>
      <c r="AV27" s="9">
        <v>8</v>
      </c>
      <c r="AW27" s="9">
        <v>0</v>
      </c>
      <c r="AX27" s="9">
        <v>4</v>
      </c>
      <c r="AY27" s="9">
        <v>9</v>
      </c>
      <c r="AZ27" s="9">
        <v>12</v>
      </c>
    </row>
    <row r="28" spans="2:52">
      <c r="B28" t="str">
        <f t="shared" si="0"/>
        <v>May</v>
      </c>
      <c r="C28" s="43">
        <f t="shared" si="1"/>
        <v>46152</v>
      </c>
      <c r="D28" s="44">
        <f t="shared" si="2"/>
        <v>46145</v>
      </c>
      <c r="E28" s="9" t="s">
        <v>45</v>
      </c>
      <c r="F28">
        <f t="shared" si="3"/>
        <v>0</v>
      </c>
      <c r="G28">
        <f t="shared" si="4"/>
        <v>13</v>
      </c>
      <c r="AJ28" s="40">
        <v>46145</v>
      </c>
      <c r="AK28" s="9" t="s">
        <v>202</v>
      </c>
      <c r="AL28" s="9" t="s">
        <v>45</v>
      </c>
      <c r="AM28" s="9"/>
      <c r="AN28" s="9">
        <v>155</v>
      </c>
      <c r="AO28" s="9">
        <v>0</v>
      </c>
      <c r="AP28" s="9">
        <v>49</v>
      </c>
      <c r="AQ28" s="9">
        <v>50</v>
      </c>
      <c r="AR28" s="9">
        <v>0</v>
      </c>
      <c r="AS28" s="9">
        <v>6</v>
      </c>
      <c r="AT28" s="9">
        <v>3</v>
      </c>
      <c r="AU28" s="9">
        <v>3</v>
      </c>
      <c r="AV28" s="9">
        <v>48</v>
      </c>
      <c r="AW28" s="9">
        <v>91</v>
      </c>
      <c r="AX28" s="9">
        <v>90</v>
      </c>
      <c r="AY28" s="9">
        <v>85</v>
      </c>
      <c r="AZ28" s="9">
        <v>84</v>
      </c>
    </row>
    <row r="29" spans="2:52">
      <c r="B29" t="str">
        <f t="shared" si="0"/>
        <v>May</v>
      </c>
      <c r="C29" s="43">
        <f t="shared" si="1"/>
        <v>46152</v>
      </c>
      <c r="D29" s="44">
        <f t="shared" si="2"/>
        <v>46145</v>
      </c>
      <c r="E29" s="9" t="s">
        <v>46</v>
      </c>
      <c r="F29">
        <f t="shared" si="3"/>
        <v>0</v>
      </c>
      <c r="G29">
        <f t="shared" si="4"/>
        <v>61</v>
      </c>
      <c r="AJ29" s="40">
        <v>46145</v>
      </c>
      <c r="AK29" s="9" t="s">
        <v>202</v>
      </c>
      <c r="AL29" s="9" t="s">
        <v>46</v>
      </c>
      <c r="AM29" s="9"/>
      <c r="AN29" s="9">
        <v>0</v>
      </c>
      <c r="AO29" s="9">
        <v>50</v>
      </c>
      <c r="AP29" s="9">
        <v>49</v>
      </c>
      <c r="AQ29" s="9">
        <v>115</v>
      </c>
      <c r="AR29" s="9">
        <v>114</v>
      </c>
      <c r="AS29" s="9">
        <v>114</v>
      </c>
      <c r="AT29" s="9">
        <v>112</v>
      </c>
      <c r="AU29" s="9">
        <v>91</v>
      </c>
      <c r="AV29" s="9">
        <v>96</v>
      </c>
      <c r="AW29" s="9">
        <v>60</v>
      </c>
      <c r="AX29" s="9">
        <v>62</v>
      </c>
      <c r="AY29" s="9">
        <v>113</v>
      </c>
      <c r="AZ29" s="9">
        <v>114</v>
      </c>
    </row>
    <row r="30" spans="2:52">
      <c r="B30" t="str">
        <f t="shared" si="0"/>
        <v>May</v>
      </c>
      <c r="C30" s="43">
        <f t="shared" si="1"/>
        <v>46152</v>
      </c>
      <c r="D30" s="44">
        <f t="shared" si="2"/>
        <v>46145</v>
      </c>
      <c r="E30" s="9" t="s">
        <v>47</v>
      </c>
      <c r="F30">
        <f t="shared" si="3"/>
        <v>0</v>
      </c>
      <c r="G30">
        <f t="shared" si="4"/>
        <v>5</v>
      </c>
      <c r="AJ30" s="40">
        <v>46145</v>
      </c>
      <c r="AK30" s="9" t="s">
        <v>202</v>
      </c>
      <c r="AL30" s="9" t="s">
        <v>47</v>
      </c>
      <c r="AM30" s="9"/>
      <c r="AN30" s="9">
        <v>7</v>
      </c>
      <c r="AO30" s="9">
        <v>0</v>
      </c>
      <c r="AP30" s="9">
        <v>4</v>
      </c>
      <c r="AQ30" s="9">
        <v>0</v>
      </c>
      <c r="AR30" s="9">
        <v>0</v>
      </c>
      <c r="AS30" s="9">
        <v>2</v>
      </c>
      <c r="AT30" s="9">
        <v>4</v>
      </c>
      <c r="AU30" s="9">
        <v>8</v>
      </c>
      <c r="AV30" s="9">
        <v>13</v>
      </c>
      <c r="AW30" s="9">
        <v>0</v>
      </c>
      <c r="AX30" s="9">
        <v>0</v>
      </c>
      <c r="AY30" s="9">
        <v>1</v>
      </c>
      <c r="AZ30" s="9">
        <v>5</v>
      </c>
    </row>
    <row r="31" spans="2:52">
      <c r="B31" t="str">
        <f t="shared" si="0"/>
        <v>May</v>
      </c>
      <c r="C31" s="43">
        <f t="shared" si="1"/>
        <v>46152</v>
      </c>
      <c r="D31" s="44">
        <f t="shared" si="2"/>
        <v>46145</v>
      </c>
      <c r="E31" s="9" t="s">
        <v>206</v>
      </c>
      <c r="F31">
        <f t="shared" si="3"/>
        <v>0</v>
      </c>
      <c r="G31">
        <f t="shared" si="4"/>
        <v>-10</v>
      </c>
      <c r="AJ31" s="40">
        <v>46145</v>
      </c>
      <c r="AK31" s="9" t="s">
        <v>43</v>
      </c>
      <c r="AL31" s="9" t="s">
        <v>206</v>
      </c>
      <c r="AM31" s="9"/>
      <c r="AN31" s="9">
        <v>39</v>
      </c>
      <c r="AO31" s="9">
        <v>46</v>
      </c>
      <c r="AP31" s="9">
        <v>44</v>
      </c>
      <c r="AQ31" s="9">
        <v>20</v>
      </c>
      <c r="AR31" s="9">
        <v>16</v>
      </c>
      <c r="AS31" s="9">
        <v>0</v>
      </c>
      <c r="AT31" s="9">
        <v>25</v>
      </c>
      <c r="AU31" s="9">
        <v>0</v>
      </c>
      <c r="AV31" s="9">
        <v>12</v>
      </c>
      <c r="AW31" s="9">
        <v>0</v>
      </c>
      <c r="AX31" s="9">
        <v>0</v>
      </c>
      <c r="AY31" s="9">
        <v>0</v>
      </c>
      <c r="AZ31" s="9">
        <v>2</v>
      </c>
    </row>
    <row r="32" spans="2:52">
      <c r="B32" t="str">
        <f t="shared" si="0"/>
        <v>May</v>
      </c>
      <c r="C32" s="43">
        <f t="shared" si="1"/>
        <v>46152</v>
      </c>
      <c r="D32" s="44">
        <f t="shared" si="2"/>
        <v>46145</v>
      </c>
      <c r="E32" s="9" t="s">
        <v>207</v>
      </c>
      <c r="F32">
        <f t="shared" si="3"/>
        <v>0</v>
      </c>
      <c r="G32">
        <f t="shared" si="4"/>
        <v>12</v>
      </c>
      <c r="AJ32" s="40">
        <v>46145</v>
      </c>
      <c r="AK32" s="9" t="s">
        <v>203</v>
      </c>
      <c r="AL32" s="9" t="s">
        <v>207</v>
      </c>
      <c r="AM32" s="9"/>
      <c r="AN32" s="9">
        <v>120</v>
      </c>
      <c r="AO32" s="9">
        <v>120</v>
      </c>
      <c r="AP32" s="9">
        <v>127</v>
      </c>
      <c r="AQ32" s="9">
        <v>128</v>
      </c>
      <c r="AR32" s="9">
        <v>134</v>
      </c>
      <c r="AS32" s="9">
        <v>139</v>
      </c>
      <c r="AT32" s="9">
        <v>137</v>
      </c>
      <c r="AU32" s="9">
        <v>137</v>
      </c>
      <c r="AV32" s="9">
        <v>133</v>
      </c>
      <c r="AW32" s="9">
        <v>94</v>
      </c>
      <c r="AX32" s="9">
        <v>67</v>
      </c>
      <c r="AY32" s="9">
        <v>69</v>
      </c>
      <c r="AZ32" s="9">
        <v>71</v>
      </c>
    </row>
    <row r="33" spans="2:52">
      <c r="B33" t="str">
        <f t="shared" si="0"/>
        <v>May</v>
      </c>
      <c r="C33" s="43">
        <f t="shared" si="1"/>
        <v>46152</v>
      </c>
      <c r="D33" s="44">
        <f t="shared" si="2"/>
        <v>46145</v>
      </c>
      <c r="E33" s="9" t="s">
        <v>42</v>
      </c>
      <c r="F33">
        <f t="shared" si="3"/>
        <v>0</v>
      </c>
      <c r="G33">
        <f t="shared" si="4"/>
        <v>10</v>
      </c>
      <c r="AJ33" s="40">
        <v>46145</v>
      </c>
      <c r="AK33" s="9" t="s">
        <v>42</v>
      </c>
      <c r="AL33" s="9" t="s">
        <v>42</v>
      </c>
      <c r="AM33" s="9"/>
      <c r="AN33" s="9">
        <v>11</v>
      </c>
      <c r="AO33" s="9">
        <v>5</v>
      </c>
      <c r="AP33" s="9">
        <v>4</v>
      </c>
      <c r="AQ33" s="9">
        <v>2</v>
      </c>
      <c r="AR33" s="9">
        <v>4</v>
      </c>
      <c r="AS33" s="9">
        <v>8</v>
      </c>
      <c r="AT33" s="9">
        <v>0</v>
      </c>
      <c r="AU33" s="9">
        <v>117</v>
      </c>
      <c r="AV33" s="9">
        <v>84</v>
      </c>
      <c r="AW33" s="9">
        <v>89</v>
      </c>
      <c r="AX33" s="9">
        <v>90</v>
      </c>
      <c r="AY33" s="9">
        <v>0</v>
      </c>
      <c r="AZ33" s="9">
        <v>16</v>
      </c>
    </row>
    <row r="34" spans="2:52">
      <c r="B34" t="str">
        <f t="shared" si="0"/>
        <v>May</v>
      </c>
      <c r="C34" s="43">
        <f t="shared" si="1"/>
        <v>46152</v>
      </c>
      <c r="D34" s="44">
        <f t="shared" si="2"/>
        <v>46146</v>
      </c>
      <c r="E34" s="9" t="s">
        <v>31</v>
      </c>
      <c r="F34">
        <f t="shared" si="3"/>
        <v>0</v>
      </c>
      <c r="G34">
        <f t="shared" si="4"/>
        <v>-199</v>
      </c>
      <c r="AJ34" s="40">
        <v>46146</v>
      </c>
      <c r="AK34" s="9" t="s">
        <v>204</v>
      </c>
      <c r="AL34" s="9" t="s">
        <v>31</v>
      </c>
      <c r="AM34" s="9"/>
      <c r="AN34" s="9">
        <v>129</v>
      </c>
      <c r="AO34" s="9">
        <v>121</v>
      </c>
      <c r="AP34" s="9">
        <v>110</v>
      </c>
      <c r="AQ34" s="9">
        <v>111</v>
      </c>
      <c r="AR34" s="9">
        <v>124</v>
      </c>
      <c r="AS34" s="9">
        <v>145</v>
      </c>
      <c r="AT34" s="9">
        <v>136</v>
      </c>
      <c r="AU34" s="9">
        <v>217</v>
      </c>
      <c r="AV34" s="9">
        <v>208</v>
      </c>
      <c r="AW34" s="9">
        <v>204</v>
      </c>
      <c r="AX34" s="9">
        <v>209</v>
      </c>
      <c r="AY34" s="9">
        <v>202</v>
      </c>
      <c r="AZ34" s="9">
        <v>0</v>
      </c>
    </row>
    <row r="35" spans="2:52">
      <c r="B35" t="str">
        <f t="shared" si="0"/>
        <v>May</v>
      </c>
      <c r="C35" s="43">
        <f t="shared" si="1"/>
        <v>46152</v>
      </c>
      <c r="D35" s="44">
        <f t="shared" si="2"/>
        <v>46146</v>
      </c>
      <c r="E35" s="9" t="s">
        <v>39</v>
      </c>
      <c r="F35">
        <f t="shared" si="3"/>
        <v>0</v>
      </c>
      <c r="G35">
        <f t="shared" si="4"/>
        <v>5</v>
      </c>
      <c r="AJ35" s="40">
        <v>46146</v>
      </c>
      <c r="AK35" s="9" t="s">
        <v>205</v>
      </c>
      <c r="AL35" s="9" t="s">
        <v>39</v>
      </c>
      <c r="AM35" s="9"/>
      <c r="AN35" s="9">
        <v>0</v>
      </c>
      <c r="AO35" s="9">
        <v>0</v>
      </c>
      <c r="AP35" s="9">
        <v>0</v>
      </c>
      <c r="AQ35" s="9">
        <v>0</v>
      </c>
      <c r="AR35" s="9">
        <v>45</v>
      </c>
      <c r="AS35" s="9">
        <v>26</v>
      </c>
      <c r="AT35" s="9">
        <v>42</v>
      </c>
      <c r="AU35" s="9">
        <v>52</v>
      </c>
      <c r="AV35" s="9">
        <v>62</v>
      </c>
      <c r="AW35" s="9">
        <v>49</v>
      </c>
      <c r="AX35" s="9">
        <v>35</v>
      </c>
      <c r="AY35" s="9">
        <v>0</v>
      </c>
      <c r="AZ35" s="9">
        <v>15</v>
      </c>
    </row>
    <row r="36" spans="2:52">
      <c r="B36" t="str">
        <f t="shared" si="0"/>
        <v>May</v>
      </c>
      <c r="C36" s="43">
        <f t="shared" si="1"/>
        <v>46152</v>
      </c>
      <c r="D36" s="44">
        <f t="shared" si="2"/>
        <v>46146</v>
      </c>
      <c r="E36" s="9" t="s">
        <v>40</v>
      </c>
      <c r="F36">
        <f t="shared" si="3"/>
        <v>0</v>
      </c>
      <c r="G36">
        <f t="shared" si="4"/>
        <v>-125</v>
      </c>
      <c r="AJ36" s="40">
        <v>46146</v>
      </c>
      <c r="AK36" s="9" t="s">
        <v>205</v>
      </c>
      <c r="AL36" s="9" t="s">
        <v>40</v>
      </c>
      <c r="AM36" s="9"/>
      <c r="AN36" s="9">
        <v>139</v>
      </c>
      <c r="AO36" s="9">
        <v>148</v>
      </c>
      <c r="AP36" s="9">
        <v>157</v>
      </c>
      <c r="AQ36" s="9">
        <v>153</v>
      </c>
      <c r="AR36" s="9">
        <v>157</v>
      </c>
      <c r="AS36" s="9">
        <v>163</v>
      </c>
      <c r="AT36" s="9">
        <v>156</v>
      </c>
      <c r="AU36" s="9">
        <v>156</v>
      </c>
      <c r="AV36" s="9">
        <v>148</v>
      </c>
      <c r="AW36" s="9">
        <v>148</v>
      </c>
      <c r="AX36" s="9">
        <v>139</v>
      </c>
      <c r="AY36" s="9">
        <v>0</v>
      </c>
      <c r="AZ36" s="9">
        <v>10</v>
      </c>
    </row>
    <row r="37" spans="2:52">
      <c r="B37" t="str">
        <f t="shared" si="0"/>
        <v>May</v>
      </c>
      <c r="C37" s="43">
        <f t="shared" si="1"/>
        <v>46152</v>
      </c>
      <c r="D37" s="44">
        <f t="shared" si="2"/>
        <v>46146</v>
      </c>
      <c r="E37" s="9" t="s">
        <v>41</v>
      </c>
      <c r="F37">
        <f t="shared" si="3"/>
        <v>0</v>
      </c>
      <c r="G37">
        <f t="shared" si="4"/>
        <v>-12</v>
      </c>
      <c r="AJ37" s="40">
        <v>46146</v>
      </c>
      <c r="AK37" s="9" t="s">
        <v>41</v>
      </c>
      <c r="AL37" s="9" t="s">
        <v>41</v>
      </c>
      <c r="AM37" s="9"/>
      <c r="AN37" s="9">
        <v>10</v>
      </c>
      <c r="AO37" s="9">
        <v>14</v>
      </c>
      <c r="AP37" s="9">
        <v>15</v>
      </c>
      <c r="AQ37" s="9">
        <v>14</v>
      </c>
      <c r="AR37" s="9">
        <v>19</v>
      </c>
      <c r="AS37" s="9">
        <v>17</v>
      </c>
      <c r="AT37" s="9">
        <v>0</v>
      </c>
      <c r="AU37" s="9">
        <v>0</v>
      </c>
      <c r="AV37" s="9">
        <v>6</v>
      </c>
      <c r="AW37" s="9">
        <v>0</v>
      </c>
      <c r="AX37" s="9">
        <v>12</v>
      </c>
      <c r="AY37" s="9">
        <v>0</v>
      </c>
      <c r="AZ37" s="9">
        <v>0</v>
      </c>
    </row>
    <row r="38" spans="2:52">
      <c r="B38" t="str">
        <f t="shared" si="0"/>
        <v>May</v>
      </c>
      <c r="C38" s="43">
        <f t="shared" si="1"/>
        <v>46152</v>
      </c>
      <c r="D38" s="44">
        <f t="shared" si="2"/>
        <v>46146</v>
      </c>
      <c r="E38" s="9" t="s">
        <v>45</v>
      </c>
      <c r="F38">
        <f t="shared" si="3"/>
        <v>0</v>
      </c>
      <c r="G38">
        <f t="shared" si="4"/>
        <v>44</v>
      </c>
      <c r="AJ38" s="40">
        <v>46146</v>
      </c>
      <c r="AK38" s="9" t="s">
        <v>202</v>
      </c>
      <c r="AL38" s="9" t="s">
        <v>45</v>
      </c>
      <c r="AM38" s="9"/>
      <c r="AN38" s="9">
        <v>41</v>
      </c>
      <c r="AO38" s="9">
        <v>41</v>
      </c>
      <c r="AP38" s="9">
        <v>43</v>
      </c>
      <c r="AQ38" s="9">
        <v>49</v>
      </c>
      <c r="AR38" s="9">
        <v>55</v>
      </c>
      <c r="AS38" s="9">
        <v>52</v>
      </c>
      <c r="AT38" s="9">
        <v>0</v>
      </c>
      <c r="AU38" s="9">
        <v>5</v>
      </c>
      <c r="AV38" s="9">
        <v>0</v>
      </c>
      <c r="AW38" s="9">
        <v>136</v>
      </c>
      <c r="AX38" s="9">
        <v>130</v>
      </c>
      <c r="AY38" s="9">
        <v>130</v>
      </c>
      <c r="AZ38" s="9">
        <v>128</v>
      </c>
    </row>
    <row r="39" spans="2:52">
      <c r="B39" t="str">
        <f t="shared" si="0"/>
        <v>May</v>
      </c>
      <c r="C39" s="43">
        <f t="shared" si="1"/>
        <v>46152</v>
      </c>
      <c r="D39" s="44">
        <f t="shared" si="2"/>
        <v>46146</v>
      </c>
      <c r="E39" s="9" t="s">
        <v>46</v>
      </c>
      <c r="F39">
        <f t="shared" si="3"/>
        <v>0</v>
      </c>
      <c r="G39">
        <f t="shared" si="4"/>
        <v>-114</v>
      </c>
      <c r="AJ39" s="40">
        <v>46146</v>
      </c>
      <c r="AK39" s="9" t="s">
        <v>202</v>
      </c>
      <c r="AL39" s="9" t="s">
        <v>46</v>
      </c>
      <c r="AM39" s="9"/>
      <c r="AN39" s="9">
        <v>38</v>
      </c>
      <c r="AO39" s="9">
        <v>34</v>
      </c>
      <c r="AP39" s="9">
        <v>39</v>
      </c>
      <c r="AQ39" s="9">
        <v>41</v>
      </c>
      <c r="AR39" s="9">
        <v>0</v>
      </c>
      <c r="AS39" s="9">
        <v>0</v>
      </c>
      <c r="AT39" s="9">
        <v>4</v>
      </c>
      <c r="AU39" s="9">
        <v>0</v>
      </c>
      <c r="AV39" s="9">
        <v>35</v>
      </c>
      <c r="AW39" s="9">
        <v>0</v>
      </c>
      <c r="AX39" s="9">
        <v>2</v>
      </c>
      <c r="AY39" s="9">
        <v>0</v>
      </c>
      <c r="AZ39" s="9">
        <v>0</v>
      </c>
    </row>
    <row r="40" spans="2:52">
      <c r="B40" t="str">
        <f t="shared" si="0"/>
        <v>May</v>
      </c>
      <c r="C40" s="43">
        <f t="shared" si="1"/>
        <v>46152</v>
      </c>
      <c r="D40" s="44">
        <f t="shared" si="2"/>
        <v>46146</v>
      </c>
      <c r="E40" s="9" t="s">
        <v>47</v>
      </c>
      <c r="F40">
        <f t="shared" si="3"/>
        <v>0</v>
      </c>
      <c r="G40">
        <f t="shared" si="4"/>
        <v>10</v>
      </c>
      <c r="AJ40" s="40">
        <v>46146</v>
      </c>
      <c r="AK40" s="9" t="s">
        <v>202</v>
      </c>
      <c r="AL40" s="9" t="s">
        <v>47</v>
      </c>
      <c r="AM40" s="9"/>
      <c r="AN40" s="9">
        <v>15</v>
      </c>
      <c r="AO40" s="9">
        <v>0</v>
      </c>
      <c r="AP40" s="9">
        <v>4</v>
      </c>
      <c r="AQ40" s="9">
        <v>2</v>
      </c>
      <c r="AR40" s="9">
        <v>4</v>
      </c>
      <c r="AS40" s="9">
        <v>7</v>
      </c>
      <c r="AT40" s="9">
        <v>6</v>
      </c>
      <c r="AU40" s="9">
        <v>10</v>
      </c>
      <c r="AV40" s="9">
        <v>11</v>
      </c>
      <c r="AW40" s="9">
        <v>14</v>
      </c>
      <c r="AX40" s="9">
        <v>18</v>
      </c>
      <c r="AY40" s="9">
        <v>19</v>
      </c>
      <c r="AZ40" s="9">
        <v>15</v>
      </c>
    </row>
    <row r="41" spans="2:52">
      <c r="B41" t="str">
        <f t="shared" si="0"/>
        <v>May</v>
      </c>
      <c r="C41" s="43">
        <f t="shared" si="1"/>
        <v>46152</v>
      </c>
      <c r="D41" s="44">
        <f t="shared" si="2"/>
        <v>46146</v>
      </c>
      <c r="E41" s="9" t="s">
        <v>206</v>
      </c>
      <c r="F41">
        <f t="shared" si="3"/>
        <v>0</v>
      </c>
      <c r="G41">
        <f t="shared" si="4"/>
        <v>28</v>
      </c>
      <c r="AJ41" s="40">
        <v>46146</v>
      </c>
      <c r="AK41" s="9" t="s">
        <v>43</v>
      </c>
      <c r="AL41" s="9" t="s">
        <v>206</v>
      </c>
      <c r="AM41" s="9"/>
      <c r="AN41" s="9">
        <v>0</v>
      </c>
      <c r="AO41" s="9">
        <v>0</v>
      </c>
      <c r="AP41" s="9">
        <v>6</v>
      </c>
      <c r="AQ41" s="9">
        <v>60</v>
      </c>
      <c r="AR41" s="9">
        <v>55</v>
      </c>
      <c r="AS41" s="9">
        <v>57</v>
      </c>
      <c r="AT41" s="9">
        <v>62</v>
      </c>
      <c r="AU41" s="9">
        <v>62</v>
      </c>
      <c r="AV41" s="9">
        <v>0</v>
      </c>
      <c r="AW41" s="9">
        <v>0</v>
      </c>
      <c r="AX41" s="9">
        <v>0</v>
      </c>
      <c r="AY41" s="9">
        <v>32</v>
      </c>
      <c r="AZ41" s="9">
        <v>30</v>
      </c>
    </row>
    <row r="42" spans="2:52">
      <c r="B42" t="str">
        <f t="shared" si="0"/>
        <v>May</v>
      </c>
      <c r="C42" s="43">
        <f t="shared" si="1"/>
        <v>46152</v>
      </c>
      <c r="D42" s="44">
        <f t="shared" si="2"/>
        <v>46146</v>
      </c>
      <c r="E42" s="9" t="s">
        <v>207</v>
      </c>
      <c r="F42">
        <f t="shared" si="3"/>
        <v>0</v>
      </c>
      <c r="G42">
        <f t="shared" si="4"/>
        <v>-71</v>
      </c>
      <c r="AJ42" s="40">
        <v>46146</v>
      </c>
      <c r="AK42" s="9" t="s">
        <v>203</v>
      </c>
      <c r="AL42" s="9" t="s">
        <v>207</v>
      </c>
      <c r="AM42" s="9"/>
      <c r="AN42" s="9">
        <v>55</v>
      </c>
      <c r="AO42" s="9">
        <v>55</v>
      </c>
      <c r="AP42" s="9">
        <v>0</v>
      </c>
      <c r="AQ42" s="9">
        <v>0</v>
      </c>
      <c r="AR42" s="9">
        <v>0</v>
      </c>
      <c r="AS42" s="9">
        <v>12</v>
      </c>
      <c r="AT42" s="9">
        <v>15</v>
      </c>
      <c r="AU42" s="9">
        <v>20</v>
      </c>
      <c r="AV42" s="9">
        <v>20</v>
      </c>
      <c r="AW42" s="9">
        <v>20</v>
      </c>
      <c r="AX42" s="9">
        <v>28</v>
      </c>
      <c r="AY42" s="9">
        <v>34</v>
      </c>
      <c r="AZ42" s="9">
        <v>0</v>
      </c>
    </row>
    <row r="43" spans="2:52">
      <c r="B43" t="str">
        <f t="shared" si="0"/>
        <v>May</v>
      </c>
      <c r="C43" s="43">
        <f t="shared" si="1"/>
        <v>46152</v>
      </c>
      <c r="D43" s="44">
        <f t="shared" si="2"/>
        <v>46146</v>
      </c>
      <c r="E43" s="9" t="s">
        <v>42</v>
      </c>
      <c r="F43">
        <f t="shared" si="3"/>
        <v>0</v>
      </c>
      <c r="G43">
        <f t="shared" si="4"/>
        <v>8</v>
      </c>
      <c r="AJ43" s="40">
        <v>46146</v>
      </c>
      <c r="AK43" s="9" t="s">
        <v>42</v>
      </c>
      <c r="AL43" s="9" t="s">
        <v>42</v>
      </c>
      <c r="AM43" s="9"/>
      <c r="AN43" s="9">
        <v>0</v>
      </c>
      <c r="AO43" s="9">
        <v>2</v>
      </c>
      <c r="AP43" s="9">
        <v>0</v>
      </c>
      <c r="AQ43" s="9">
        <v>15</v>
      </c>
      <c r="AR43" s="9">
        <v>0</v>
      </c>
      <c r="AS43" s="9">
        <v>5</v>
      </c>
      <c r="AT43" s="9">
        <v>35</v>
      </c>
      <c r="AU43" s="9">
        <v>34</v>
      </c>
      <c r="AV43" s="9">
        <v>40</v>
      </c>
      <c r="AW43" s="9">
        <v>0</v>
      </c>
      <c r="AX43" s="9">
        <v>12</v>
      </c>
      <c r="AY43" s="9">
        <v>19</v>
      </c>
      <c r="AZ43" s="9">
        <v>24</v>
      </c>
    </row>
    <row r="44" spans="2:52">
      <c r="B44" t="str">
        <f t="shared" si="0"/>
        <v>May</v>
      </c>
      <c r="C44" s="43">
        <f t="shared" si="1"/>
        <v>46152</v>
      </c>
      <c r="D44" s="44">
        <f t="shared" si="2"/>
        <v>46147</v>
      </c>
      <c r="E44" s="9" t="s">
        <v>31</v>
      </c>
      <c r="F44">
        <f t="shared" si="3"/>
        <v>0</v>
      </c>
      <c r="G44">
        <f t="shared" si="4"/>
        <v>227</v>
      </c>
      <c r="AJ44" s="40">
        <v>46147</v>
      </c>
      <c r="AK44" s="9" t="s">
        <v>204</v>
      </c>
      <c r="AL44" s="9" t="s">
        <v>31</v>
      </c>
      <c r="AM44" s="9"/>
      <c r="AN44" s="9">
        <v>158</v>
      </c>
      <c r="AO44" s="9">
        <v>179</v>
      </c>
      <c r="AP44" s="9">
        <v>182</v>
      </c>
      <c r="AQ44" s="9">
        <v>168</v>
      </c>
      <c r="AR44" s="9">
        <v>185</v>
      </c>
      <c r="AS44" s="9">
        <v>178</v>
      </c>
      <c r="AT44" s="9">
        <v>164</v>
      </c>
      <c r="AU44" s="9">
        <v>183</v>
      </c>
      <c r="AV44" s="9">
        <v>191</v>
      </c>
      <c r="AW44" s="9">
        <v>189</v>
      </c>
      <c r="AX44" s="9">
        <v>240</v>
      </c>
      <c r="AY44" s="9">
        <v>240</v>
      </c>
      <c r="AZ44" s="9">
        <v>227</v>
      </c>
    </row>
    <row r="45" spans="2:52">
      <c r="B45" t="str">
        <f t="shared" si="0"/>
        <v>May</v>
      </c>
      <c r="C45" s="43">
        <f t="shared" si="1"/>
        <v>46152</v>
      </c>
      <c r="D45" s="44">
        <f t="shared" si="2"/>
        <v>46147</v>
      </c>
      <c r="E45" s="9" t="s">
        <v>39</v>
      </c>
      <c r="F45">
        <f t="shared" si="3"/>
        <v>0</v>
      </c>
      <c r="G45">
        <f t="shared" si="4"/>
        <v>223</v>
      </c>
      <c r="AJ45" s="40">
        <v>46147</v>
      </c>
      <c r="AK45" s="9" t="s">
        <v>205</v>
      </c>
      <c r="AL45" s="9" t="s">
        <v>39</v>
      </c>
      <c r="AM45" s="9"/>
      <c r="AN45" s="9">
        <v>61</v>
      </c>
      <c r="AO45" s="9">
        <v>108</v>
      </c>
      <c r="AP45" s="9">
        <v>168</v>
      </c>
      <c r="AQ45" s="9">
        <v>171</v>
      </c>
      <c r="AR45" s="9">
        <v>0</v>
      </c>
      <c r="AS45" s="9">
        <v>4</v>
      </c>
      <c r="AT45" s="9">
        <v>0</v>
      </c>
      <c r="AU45" s="9">
        <v>0</v>
      </c>
      <c r="AV45" s="9">
        <v>173</v>
      </c>
      <c r="AW45" s="9">
        <v>177</v>
      </c>
      <c r="AX45" s="9">
        <v>166</v>
      </c>
      <c r="AY45" s="9">
        <v>154</v>
      </c>
      <c r="AZ45" s="9">
        <v>238</v>
      </c>
    </row>
    <row r="46" spans="2:52">
      <c r="B46" t="str">
        <f t="shared" si="0"/>
        <v>May</v>
      </c>
      <c r="C46" s="43">
        <f t="shared" si="1"/>
        <v>46152</v>
      </c>
      <c r="D46" s="44">
        <f t="shared" si="2"/>
        <v>46147</v>
      </c>
      <c r="E46" s="9" t="s">
        <v>40</v>
      </c>
      <c r="F46">
        <f t="shared" si="3"/>
        <v>0</v>
      </c>
      <c r="G46">
        <f t="shared" si="4"/>
        <v>-10</v>
      </c>
      <c r="AJ46" s="40">
        <v>46147</v>
      </c>
      <c r="AK46" s="9" t="s">
        <v>205</v>
      </c>
      <c r="AL46" s="9" t="s">
        <v>40</v>
      </c>
      <c r="AM46" s="9"/>
      <c r="AN46" s="9">
        <v>0</v>
      </c>
      <c r="AO46" s="9">
        <v>0</v>
      </c>
      <c r="AP46" s="9">
        <v>0</v>
      </c>
      <c r="AQ46" s="9">
        <v>7</v>
      </c>
      <c r="AR46" s="9">
        <v>97</v>
      </c>
      <c r="AS46" s="9">
        <v>87</v>
      </c>
      <c r="AT46" s="9">
        <v>79</v>
      </c>
      <c r="AU46" s="9">
        <v>88</v>
      </c>
      <c r="AV46" s="9">
        <v>83</v>
      </c>
      <c r="AW46" s="9">
        <v>95</v>
      </c>
      <c r="AX46" s="9">
        <v>89</v>
      </c>
      <c r="AY46" s="9">
        <v>90</v>
      </c>
      <c r="AZ46" s="9">
        <v>0</v>
      </c>
    </row>
    <row r="47" spans="2:52">
      <c r="B47" t="str">
        <f t="shared" si="0"/>
        <v>May</v>
      </c>
      <c r="C47" s="43">
        <f t="shared" si="1"/>
        <v>46152</v>
      </c>
      <c r="D47" s="44">
        <f t="shared" si="2"/>
        <v>46147</v>
      </c>
      <c r="E47" s="9" t="s">
        <v>41</v>
      </c>
      <c r="F47">
        <f t="shared" si="3"/>
        <v>0</v>
      </c>
      <c r="G47">
        <f t="shared" si="4"/>
        <v>123</v>
      </c>
      <c r="AJ47" s="40">
        <v>46147</v>
      </c>
      <c r="AK47" s="9" t="s">
        <v>41</v>
      </c>
      <c r="AL47" s="9" t="s">
        <v>41</v>
      </c>
      <c r="AM47" s="9"/>
      <c r="AN47" s="9">
        <v>23</v>
      </c>
      <c r="AO47" s="9">
        <v>120</v>
      </c>
      <c r="AP47" s="9">
        <v>121</v>
      </c>
      <c r="AQ47" s="9">
        <v>118</v>
      </c>
      <c r="AR47" s="9">
        <v>118</v>
      </c>
      <c r="AS47" s="9">
        <v>121</v>
      </c>
      <c r="AT47" s="9">
        <v>124</v>
      </c>
      <c r="AU47" s="9">
        <v>127</v>
      </c>
      <c r="AV47" s="9">
        <v>123</v>
      </c>
      <c r="AW47" s="9">
        <v>127</v>
      </c>
      <c r="AX47" s="9">
        <v>123</v>
      </c>
      <c r="AY47" s="9">
        <v>122</v>
      </c>
      <c r="AZ47" s="9">
        <v>123</v>
      </c>
    </row>
    <row r="48" spans="2:52">
      <c r="B48" t="str">
        <f t="shared" si="0"/>
        <v>May</v>
      </c>
      <c r="C48" s="43">
        <f t="shared" si="1"/>
        <v>46152</v>
      </c>
      <c r="D48" s="44">
        <f t="shared" si="2"/>
        <v>46147</v>
      </c>
      <c r="E48" s="9" t="s">
        <v>45</v>
      </c>
      <c r="F48">
        <f t="shared" si="3"/>
        <v>0</v>
      </c>
      <c r="G48">
        <f t="shared" si="4"/>
        <v>-128</v>
      </c>
      <c r="AJ48" s="40">
        <v>46147</v>
      </c>
      <c r="AK48" s="9" t="s">
        <v>202</v>
      </c>
      <c r="AL48" s="9" t="s">
        <v>45</v>
      </c>
      <c r="AM48" s="9"/>
      <c r="AN48" s="9">
        <v>38</v>
      </c>
      <c r="AO48" s="9">
        <v>58</v>
      </c>
      <c r="AP48" s="9">
        <v>59</v>
      </c>
      <c r="AQ48" s="9">
        <v>58</v>
      </c>
      <c r="AR48" s="9">
        <v>55</v>
      </c>
      <c r="AS48" s="9">
        <v>49</v>
      </c>
      <c r="AT48" s="9">
        <v>48</v>
      </c>
      <c r="AU48" s="9">
        <v>45</v>
      </c>
      <c r="AV48" s="9">
        <v>47</v>
      </c>
      <c r="AW48" s="9">
        <v>40</v>
      </c>
      <c r="AX48" s="9">
        <v>34</v>
      </c>
      <c r="AY48" s="9">
        <v>24</v>
      </c>
      <c r="AZ48" s="9">
        <v>0</v>
      </c>
    </row>
    <row r="49" spans="2:52">
      <c r="B49" t="str">
        <f t="shared" si="0"/>
        <v>May</v>
      </c>
      <c r="C49" s="43">
        <f t="shared" si="1"/>
        <v>46152</v>
      </c>
      <c r="D49" s="44">
        <f t="shared" si="2"/>
        <v>46147</v>
      </c>
      <c r="E49" s="9" t="s">
        <v>46</v>
      </c>
      <c r="F49">
        <f t="shared" si="3"/>
        <v>0</v>
      </c>
      <c r="G49">
        <f t="shared" si="4"/>
        <v>23</v>
      </c>
      <c r="AJ49" s="40">
        <v>46147</v>
      </c>
      <c r="AK49" s="9" t="s">
        <v>202</v>
      </c>
      <c r="AL49" s="9" t="s">
        <v>46</v>
      </c>
      <c r="AM49" s="9"/>
      <c r="AN49" s="9">
        <v>12</v>
      </c>
      <c r="AO49" s="9">
        <v>0</v>
      </c>
      <c r="AP49" s="9">
        <v>0</v>
      </c>
      <c r="AQ49" s="9">
        <v>1</v>
      </c>
      <c r="AR49" s="9">
        <v>0</v>
      </c>
      <c r="AS49" s="9">
        <v>2</v>
      </c>
      <c r="AT49" s="9">
        <v>0</v>
      </c>
      <c r="AU49" s="9">
        <v>0</v>
      </c>
      <c r="AV49" s="9">
        <v>17</v>
      </c>
      <c r="AW49" s="9">
        <v>19</v>
      </c>
      <c r="AX49" s="9">
        <v>23</v>
      </c>
      <c r="AY49" s="9">
        <v>19</v>
      </c>
      <c r="AZ49" s="9">
        <v>23</v>
      </c>
    </row>
    <row r="50" spans="2:52">
      <c r="B50" t="str">
        <f t="shared" si="0"/>
        <v>May</v>
      </c>
      <c r="C50" s="43">
        <f t="shared" si="1"/>
        <v>46152</v>
      </c>
      <c r="D50" s="44">
        <f t="shared" si="2"/>
        <v>46147</v>
      </c>
      <c r="E50" s="9" t="s">
        <v>47</v>
      </c>
      <c r="F50">
        <f t="shared" si="3"/>
        <v>0</v>
      </c>
      <c r="G50">
        <f t="shared" si="4"/>
        <v>5</v>
      </c>
      <c r="AJ50" s="40">
        <v>46147</v>
      </c>
      <c r="AK50" s="9" t="s">
        <v>202</v>
      </c>
      <c r="AL50" s="9" t="s">
        <v>47</v>
      </c>
      <c r="AM50" s="9"/>
      <c r="AN50" s="9">
        <v>8</v>
      </c>
      <c r="AO50" s="9">
        <v>13</v>
      </c>
      <c r="AP50" s="9">
        <v>0</v>
      </c>
      <c r="AQ50" s="9">
        <v>14</v>
      </c>
      <c r="AR50" s="9">
        <v>15</v>
      </c>
      <c r="AS50" s="9">
        <v>12</v>
      </c>
      <c r="AT50" s="9">
        <v>14</v>
      </c>
      <c r="AU50" s="9">
        <v>14</v>
      </c>
      <c r="AV50" s="9">
        <v>0</v>
      </c>
      <c r="AW50" s="9">
        <v>0</v>
      </c>
      <c r="AX50" s="9">
        <v>11</v>
      </c>
      <c r="AY50" s="9">
        <v>15</v>
      </c>
      <c r="AZ50" s="9">
        <v>20</v>
      </c>
    </row>
    <row r="51" spans="2:52">
      <c r="B51" t="str">
        <f t="shared" si="0"/>
        <v>May</v>
      </c>
      <c r="C51" s="43">
        <f t="shared" si="1"/>
        <v>46152</v>
      </c>
      <c r="D51" s="44">
        <f t="shared" si="2"/>
        <v>46147</v>
      </c>
      <c r="E51" s="9" t="s">
        <v>206</v>
      </c>
      <c r="F51">
        <f t="shared" si="3"/>
        <v>0</v>
      </c>
      <c r="G51">
        <f t="shared" si="4"/>
        <v>-27</v>
      </c>
      <c r="AJ51" s="40">
        <v>46147</v>
      </c>
      <c r="AK51" s="9" t="s">
        <v>43</v>
      </c>
      <c r="AL51" s="9" t="s">
        <v>206</v>
      </c>
      <c r="AM51" s="9"/>
      <c r="AN51" s="9">
        <v>78</v>
      </c>
      <c r="AO51" s="9">
        <v>145</v>
      </c>
      <c r="AP51" s="9">
        <v>154</v>
      </c>
      <c r="AQ51" s="9">
        <v>146</v>
      </c>
      <c r="AR51" s="9">
        <v>151</v>
      </c>
      <c r="AS51" s="9">
        <v>184</v>
      </c>
      <c r="AT51" s="9">
        <v>238</v>
      </c>
      <c r="AU51" s="9">
        <v>0</v>
      </c>
      <c r="AV51" s="9">
        <v>1</v>
      </c>
      <c r="AW51" s="9">
        <v>10</v>
      </c>
      <c r="AX51" s="9">
        <v>4</v>
      </c>
      <c r="AY51" s="9">
        <v>8</v>
      </c>
      <c r="AZ51" s="9">
        <v>3</v>
      </c>
    </row>
    <row r="52" spans="2:52">
      <c r="B52" t="str">
        <f t="shared" si="0"/>
        <v>May</v>
      </c>
      <c r="C52" s="43">
        <f t="shared" si="1"/>
        <v>46152</v>
      </c>
      <c r="D52" s="44">
        <f t="shared" si="2"/>
        <v>46147</v>
      </c>
      <c r="E52" s="9" t="s">
        <v>207</v>
      </c>
      <c r="F52">
        <f t="shared" si="3"/>
        <v>0</v>
      </c>
      <c r="G52">
        <f t="shared" si="4"/>
        <v>120</v>
      </c>
      <c r="AJ52" s="40">
        <v>46147</v>
      </c>
      <c r="AK52" s="9" t="s">
        <v>203</v>
      </c>
      <c r="AL52" s="9" t="s">
        <v>207</v>
      </c>
      <c r="AM52" s="9"/>
      <c r="AN52" s="9">
        <v>32</v>
      </c>
      <c r="AO52" s="9">
        <v>0</v>
      </c>
      <c r="AP52" s="9">
        <v>6</v>
      </c>
      <c r="AQ52" s="9">
        <v>2</v>
      </c>
      <c r="AR52" s="9">
        <v>7</v>
      </c>
      <c r="AS52" s="9">
        <v>0</v>
      </c>
      <c r="AT52" s="9">
        <v>0</v>
      </c>
      <c r="AU52" s="9">
        <v>42</v>
      </c>
      <c r="AV52" s="9">
        <v>45</v>
      </c>
      <c r="AW52" s="9">
        <v>120</v>
      </c>
      <c r="AX52" s="9">
        <v>123</v>
      </c>
      <c r="AY52" s="9">
        <v>119</v>
      </c>
      <c r="AZ52" s="9">
        <v>120</v>
      </c>
    </row>
    <row r="53" spans="2:52">
      <c r="B53" t="str">
        <f t="shared" si="0"/>
        <v>May</v>
      </c>
      <c r="C53" s="43">
        <f t="shared" si="1"/>
        <v>46152</v>
      </c>
      <c r="D53" s="44">
        <f t="shared" si="2"/>
        <v>46147</v>
      </c>
      <c r="E53" s="9" t="s">
        <v>42</v>
      </c>
      <c r="F53">
        <f t="shared" si="3"/>
        <v>0</v>
      </c>
      <c r="G53">
        <f t="shared" si="4"/>
        <v>86</v>
      </c>
      <c r="AJ53" s="40">
        <v>46147</v>
      </c>
      <c r="AK53" s="9" t="s">
        <v>42</v>
      </c>
      <c r="AL53" s="9" t="s">
        <v>42</v>
      </c>
      <c r="AM53" s="9"/>
      <c r="AN53" s="9">
        <v>19</v>
      </c>
      <c r="AO53" s="9">
        <v>0</v>
      </c>
      <c r="AP53" s="9">
        <v>23</v>
      </c>
      <c r="AQ53" s="9">
        <v>78</v>
      </c>
      <c r="AR53" s="9">
        <v>74</v>
      </c>
      <c r="AS53" s="9">
        <v>0</v>
      </c>
      <c r="AT53" s="9">
        <v>0</v>
      </c>
      <c r="AU53" s="9">
        <v>10</v>
      </c>
      <c r="AV53" s="9">
        <v>14</v>
      </c>
      <c r="AW53" s="9">
        <v>21</v>
      </c>
      <c r="AX53" s="9">
        <v>45</v>
      </c>
      <c r="AY53" s="9">
        <v>105</v>
      </c>
      <c r="AZ53" s="9">
        <v>110</v>
      </c>
    </row>
    <row r="54" spans="2:52">
      <c r="B54" t="str">
        <f t="shared" si="0"/>
        <v>May</v>
      </c>
      <c r="C54" s="43">
        <f t="shared" si="1"/>
        <v>46152</v>
      </c>
      <c r="D54" s="44">
        <f t="shared" si="2"/>
        <v>46148</v>
      </c>
      <c r="E54" s="9" t="s">
        <v>31</v>
      </c>
      <c r="F54">
        <f t="shared" si="3"/>
        <v>0</v>
      </c>
      <c r="G54">
        <f t="shared" si="4"/>
        <v>-80</v>
      </c>
      <c r="AJ54" s="40">
        <v>46148</v>
      </c>
      <c r="AK54" s="9" t="s">
        <v>204</v>
      </c>
      <c r="AL54" s="9" t="s">
        <v>31</v>
      </c>
      <c r="AM54" s="9"/>
      <c r="AN54" s="9">
        <v>86</v>
      </c>
      <c r="AO54" s="9">
        <v>77</v>
      </c>
      <c r="AP54" s="9">
        <v>64</v>
      </c>
      <c r="AQ54" s="9">
        <v>69</v>
      </c>
      <c r="AR54" s="9">
        <v>31</v>
      </c>
      <c r="AS54" s="9">
        <v>49</v>
      </c>
      <c r="AT54" s="9">
        <v>0</v>
      </c>
      <c r="AU54" s="9">
        <v>7</v>
      </c>
      <c r="AV54" s="9">
        <v>9</v>
      </c>
      <c r="AW54" s="9">
        <v>17</v>
      </c>
      <c r="AX54" s="9">
        <v>0</v>
      </c>
      <c r="AY54" s="9">
        <v>55</v>
      </c>
      <c r="AZ54" s="9">
        <v>147</v>
      </c>
    </row>
    <row r="55" spans="2:52">
      <c r="B55" t="str">
        <f t="shared" si="0"/>
        <v>May</v>
      </c>
      <c r="C55" s="43">
        <f t="shared" si="1"/>
        <v>46152</v>
      </c>
      <c r="D55" s="44">
        <f t="shared" si="2"/>
        <v>46148</v>
      </c>
      <c r="E55" s="9" t="s">
        <v>39</v>
      </c>
      <c r="F55">
        <f t="shared" si="3"/>
        <v>0</v>
      </c>
      <c r="G55">
        <f t="shared" si="4"/>
        <v>-191</v>
      </c>
      <c r="AJ55" s="40">
        <v>46148</v>
      </c>
      <c r="AK55" s="9" t="s">
        <v>205</v>
      </c>
      <c r="AL55" s="9" t="s">
        <v>39</v>
      </c>
      <c r="AM55" s="9"/>
      <c r="AN55" s="9">
        <v>124</v>
      </c>
      <c r="AO55" s="9">
        <v>132</v>
      </c>
      <c r="AP55" s="9">
        <v>136</v>
      </c>
      <c r="AQ55" s="9">
        <v>139</v>
      </c>
      <c r="AR55" s="9">
        <v>110</v>
      </c>
      <c r="AS55" s="9">
        <v>104</v>
      </c>
      <c r="AT55" s="9">
        <v>111</v>
      </c>
      <c r="AU55" s="9">
        <v>0</v>
      </c>
      <c r="AV55" s="9">
        <v>12</v>
      </c>
      <c r="AW55" s="9">
        <v>50</v>
      </c>
      <c r="AX55" s="9">
        <v>37</v>
      </c>
      <c r="AY55" s="9">
        <v>51</v>
      </c>
      <c r="AZ55" s="9">
        <v>47</v>
      </c>
    </row>
    <row r="56" spans="2:52">
      <c r="B56" t="str">
        <f t="shared" si="0"/>
        <v>May</v>
      </c>
      <c r="C56" s="43">
        <f t="shared" si="1"/>
        <v>46152</v>
      </c>
      <c r="D56" s="44">
        <f t="shared" si="2"/>
        <v>46148</v>
      </c>
      <c r="E56" s="9" t="s">
        <v>40</v>
      </c>
      <c r="F56">
        <f t="shared" si="3"/>
        <v>0</v>
      </c>
      <c r="G56">
        <f t="shared" si="4"/>
        <v>3</v>
      </c>
      <c r="AJ56" s="40">
        <v>46148</v>
      </c>
      <c r="AK56" s="9" t="s">
        <v>205</v>
      </c>
      <c r="AL56" s="9" t="s">
        <v>40</v>
      </c>
      <c r="AM56" s="9"/>
      <c r="AN56" s="9">
        <v>29</v>
      </c>
      <c r="AO56" s="9">
        <v>31</v>
      </c>
      <c r="AP56" s="9">
        <v>24</v>
      </c>
      <c r="AQ56" s="9">
        <v>19</v>
      </c>
      <c r="AR56" s="9">
        <v>0</v>
      </c>
      <c r="AS56" s="9">
        <v>0</v>
      </c>
      <c r="AT56" s="9">
        <v>37</v>
      </c>
      <c r="AU56" s="9">
        <v>32</v>
      </c>
      <c r="AV56" s="9">
        <v>22</v>
      </c>
      <c r="AW56" s="9">
        <v>20</v>
      </c>
      <c r="AX56" s="9">
        <v>16</v>
      </c>
      <c r="AY56" s="9">
        <v>0</v>
      </c>
      <c r="AZ56" s="9">
        <v>3</v>
      </c>
    </row>
    <row r="57" spans="2:52">
      <c r="B57" t="str">
        <f t="shared" si="0"/>
        <v>May</v>
      </c>
      <c r="C57" s="43">
        <f t="shared" si="1"/>
        <v>46152</v>
      </c>
      <c r="D57" s="44">
        <f t="shared" si="2"/>
        <v>46148</v>
      </c>
      <c r="E57" s="9" t="s">
        <v>41</v>
      </c>
      <c r="F57">
        <f t="shared" si="3"/>
        <v>0</v>
      </c>
      <c r="G57">
        <f t="shared" si="4"/>
        <v>-118</v>
      </c>
      <c r="AJ57" s="40">
        <v>46148</v>
      </c>
      <c r="AK57" s="9" t="s">
        <v>41</v>
      </c>
      <c r="AL57" s="9" t="s">
        <v>41</v>
      </c>
      <c r="AM57" s="9"/>
      <c r="AN57" s="9">
        <v>32</v>
      </c>
      <c r="AO57" s="9">
        <v>0</v>
      </c>
      <c r="AP57" s="9">
        <v>9</v>
      </c>
      <c r="AQ57" s="9">
        <v>12</v>
      </c>
      <c r="AR57" s="9">
        <v>11</v>
      </c>
      <c r="AS57" s="9">
        <v>12</v>
      </c>
      <c r="AT57" s="9">
        <v>10</v>
      </c>
      <c r="AU57" s="9">
        <v>14</v>
      </c>
      <c r="AV57" s="9">
        <v>11</v>
      </c>
      <c r="AW57" s="9">
        <v>9</v>
      </c>
      <c r="AX57" s="9">
        <v>6</v>
      </c>
      <c r="AY57" s="9">
        <v>4</v>
      </c>
      <c r="AZ57" s="9">
        <v>5</v>
      </c>
    </row>
    <row r="58" spans="2:52">
      <c r="B58" t="str">
        <f t="shared" si="0"/>
        <v>May</v>
      </c>
      <c r="C58" s="43">
        <f t="shared" si="1"/>
        <v>46152</v>
      </c>
      <c r="D58" s="44">
        <f t="shared" si="2"/>
        <v>46148</v>
      </c>
      <c r="E58" s="9" t="s">
        <v>45</v>
      </c>
      <c r="F58">
        <f t="shared" si="3"/>
        <v>0</v>
      </c>
      <c r="G58">
        <f t="shared" si="4"/>
        <v>13</v>
      </c>
      <c r="AJ58" s="40">
        <v>46148</v>
      </c>
      <c r="AK58" s="9" t="s">
        <v>202</v>
      </c>
      <c r="AL58" s="9" t="s">
        <v>45</v>
      </c>
      <c r="AM58" s="9"/>
      <c r="AN58" s="9">
        <v>0</v>
      </c>
      <c r="AO58" s="9">
        <v>0</v>
      </c>
      <c r="AP58" s="9">
        <v>1</v>
      </c>
      <c r="AQ58" s="9">
        <v>4</v>
      </c>
      <c r="AR58" s="9">
        <v>12</v>
      </c>
      <c r="AS58" s="9">
        <v>7</v>
      </c>
      <c r="AT58" s="9">
        <v>15</v>
      </c>
      <c r="AU58" s="9">
        <v>15</v>
      </c>
      <c r="AV58" s="9">
        <v>0</v>
      </c>
      <c r="AW58" s="9">
        <v>19</v>
      </c>
      <c r="AX58" s="9">
        <v>15</v>
      </c>
      <c r="AY58" s="9">
        <v>10</v>
      </c>
      <c r="AZ58" s="9">
        <v>13</v>
      </c>
    </row>
    <row r="59" spans="2:52">
      <c r="B59" t="str">
        <f t="shared" si="0"/>
        <v>May</v>
      </c>
      <c r="C59" s="43">
        <f t="shared" si="1"/>
        <v>46152</v>
      </c>
      <c r="D59" s="44">
        <f t="shared" si="2"/>
        <v>46148</v>
      </c>
      <c r="E59" s="9" t="s">
        <v>46</v>
      </c>
      <c r="F59">
        <f t="shared" si="3"/>
        <v>0</v>
      </c>
      <c r="G59">
        <f t="shared" si="4"/>
        <v>-12</v>
      </c>
      <c r="AJ59" s="40">
        <v>46148</v>
      </c>
      <c r="AK59" s="9" t="s">
        <v>202</v>
      </c>
      <c r="AL59" s="9" t="s">
        <v>46</v>
      </c>
      <c r="AM59" s="9"/>
      <c r="AN59" s="9">
        <v>82</v>
      </c>
      <c r="AO59" s="9">
        <v>82</v>
      </c>
      <c r="AP59" s="9">
        <v>44</v>
      </c>
      <c r="AQ59" s="9">
        <v>0</v>
      </c>
      <c r="AR59" s="9">
        <v>17</v>
      </c>
      <c r="AS59" s="9">
        <v>17</v>
      </c>
      <c r="AT59" s="9">
        <v>0</v>
      </c>
      <c r="AU59" s="9">
        <v>1</v>
      </c>
      <c r="AV59" s="9">
        <v>4</v>
      </c>
      <c r="AW59" s="9">
        <v>0</v>
      </c>
      <c r="AX59" s="9">
        <v>0</v>
      </c>
      <c r="AY59" s="9">
        <v>0</v>
      </c>
      <c r="AZ59" s="9">
        <v>11</v>
      </c>
    </row>
    <row r="60" spans="2:52">
      <c r="B60" t="str">
        <f t="shared" si="0"/>
        <v>May</v>
      </c>
      <c r="C60" s="43">
        <f t="shared" si="1"/>
        <v>46152</v>
      </c>
      <c r="D60" s="44">
        <f t="shared" si="2"/>
        <v>46148</v>
      </c>
      <c r="E60" s="9" t="s">
        <v>47</v>
      </c>
      <c r="F60">
        <f t="shared" si="3"/>
        <v>0</v>
      </c>
      <c r="G60">
        <f t="shared" si="4"/>
        <v>75</v>
      </c>
      <c r="AJ60" s="40">
        <v>46148</v>
      </c>
      <c r="AK60" s="9" t="s">
        <v>202</v>
      </c>
      <c r="AL60" s="9" t="s">
        <v>47</v>
      </c>
      <c r="AM60" s="9"/>
      <c r="AN60" s="9">
        <v>18</v>
      </c>
      <c r="AO60" s="9">
        <v>14</v>
      </c>
      <c r="AP60" s="9">
        <v>17</v>
      </c>
      <c r="AQ60" s="9">
        <v>20</v>
      </c>
      <c r="AR60" s="9">
        <v>23</v>
      </c>
      <c r="AS60" s="9">
        <v>19</v>
      </c>
      <c r="AT60" s="9">
        <v>15</v>
      </c>
      <c r="AU60" s="9">
        <v>0</v>
      </c>
      <c r="AV60" s="9">
        <v>98</v>
      </c>
      <c r="AW60" s="9">
        <v>98</v>
      </c>
      <c r="AX60" s="9">
        <v>97</v>
      </c>
      <c r="AY60" s="9">
        <v>99</v>
      </c>
      <c r="AZ60" s="9">
        <v>95</v>
      </c>
    </row>
    <row r="61" spans="2:52">
      <c r="B61" t="str">
        <f t="shared" si="0"/>
        <v>May</v>
      </c>
      <c r="C61" s="43">
        <f t="shared" si="1"/>
        <v>46152</v>
      </c>
      <c r="D61" s="44">
        <f t="shared" si="2"/>
        <v>46148</v>
      </c>
      <c r="E61" s="9" t="s">
        <v>206</v>
      </c>
      <c r="F61">
        <f t="shared" si="3"/>
        <v>0</v>
      </c>
      <c r="G61">
        <f t="shared" si="4"/>
        <v>142</v>
      </c>
      <c r="AJ61" s="40">
        <v>46148</v>
      </c>
      <c r="AK61" s="9" t="s">
        <v>43</v>
      </c>
      <c r="AL61" s="9" t="s">
        <v>206</v>
      </c>
      <c r="AM61" s="9"/>
      <c r="AN61" s="9">
        <v>0</v>
      </c>
      <c r="AO61" s="9">
        <v>0</v>
      </c>
      <c r="AP61" s="9">
        <v>15</v>
      </c>
      <c r="AQ61" s="9">
        <v>8</v>
      </c>
      <c r="AR61" s="9">
        <v>128</v>
      </c>
      <c r="AS61" s="9">
        <v>103</v>
      </c>
      <c r="AT61" s="9">
        <v>113</v>
      </c>
      <c r="AU61" s="9">
        <v>109</v>
      </c>
      <c r="AV61" s="9">
        <v>115</v>
      </c>
      <c r="AW61" s="9">
        <v>111</v>
      </c>
      <c r="AX61" s="9">
        <v>107</v>
      </c>
      <c r="AY61" s="9">
        <v>153</v>
      </c>
      <c r="AZ61" s="9">
        <v>145</v>
      </c>
    </row>
    <row r="62" spans="2:52">
      <c r="B62" t="str">
        <f t="shared" si="0"/>
        <v>May</v>
      </c>
      <c r="C62" s="43">
        <f t="shared" si="1"/>
        <v>46152</v>
      </c>
      <c r="D62" s="44">
        <f t="shared" si="2"/>
        <v>46148</v>
      </c>
      <c r="E62" s="9" t="s">
        <v>207</v>
      </c>
      <c r="F62">
        <f t="shared" si="3"/>
        <v>0</v>
      </c>
      <c r="G62">
        <f t="shared" si="4"/>
        <v>-98</v>
      </c>
      <c r="AJ62" s="40">
        <v>46148</v>
      </c>
      <c r="AK62" s="9" t="s">
        <v>203</v>
      </c>
      <c r="AL62" s="9" t="s">
        <v>207</v>
      </c>
      <c r="AM62" s="9"/>
      <c r="AN62" s="9">
        <v>0</v>
      </c>
      <c r="AO62" s="9">
        <v>5</v>
      </c>
      <c r="AP62" s="9">
        <v>0</v>
      </c>
      <c r="AQ62" s="9">
        <v>0</v>
      </c>
      <c r="AR62" s="9">
        <v>11</v>
      </c>
      <c r="AS62" s="9">
        <v>0</v>
      </c>
      <c r="AT62" s="9">
        <v>0</v>
      </c>
      <c r="AU62" s="9">
        <v>3</v>
      </c>
      <c r="AV62" s="9">
        <v>5</v>
      </c>
      <c r="AW62" s="9">
        <v>12</v>
      </c>
      <c r="AX62" s="9">
        <v>0</v>
      </c>
      <c r="AY62" s="9">
        <v>0</v>
      </c>
      <c r="AZ62" s="9">
        <v>22</v>
      </c>
    </row>
    <row r="63" spans="2:52">
      <c r="B63" t="str">
        <f t="shared" si="0"/>
        <v>May</v>
      </c>
      <c r="C63" s="43">
        <f t="shared" si="1"/>
        <v>46152</v>
      </c>
      <c r="D63" s="44">
        <f t="shared" si="2"/>
        <v>46148</v>
      </c>
      <c r="E63" s="9" t="s">
        <v>42</v>
      </c>
      <c r="F63">
        <f t="shared" si="3"/>
        <v>0</v>
      </c>
      <c r="G63">
        <f t="shared" si="4"/>
        <v>-78</v>
      </c>
      <c r="AJ63" s="40">
        <v>46148</v>
      </c>
      <c r="AK63" s="9" t="s">
        <v>42</v>
      </c>
      <c r="AL63" s="9" t="s">
        <v>42</v>
      </c>
      <c r="AM63" s="9"/>
      <c r="AN63" s="9">
        <v>40</v>
      </c>
      <c r="AO63" s="9">
        <v>37</v>
      </c>
      <c r="AP63" s="9">
        <v>0</v>
      </c>
      <c r="AQ63" s="9">
        <v>2</v>
      </c>
      <c r="AR63" s="9">
        <v>5</v>
      </c>
      <c r="AS63" s="9">
        <v>0</v>
      </c>
      <c r="AT63" s="9">
        <v>0</v>
      </c>
      <c r="AU63" s="9">
        <v>0</v>
      </c>
      <c r="AV63" s="9">
        <v>0</v>
      </c>
      <c r="AW63" s="9">
        <v>34</v>
      </c>
      <c r="AX63" s="9">
        <v>33</v>
      </c>
      <c r="AY63" s="9">
        <v>38</v>
      </c>
      <c r="AZ63" s="9">
        <v>32</v>
      </c>
    </row>
    <row r="64" spans="2:52">
      <c r="B64" t="str">
        <f t="shared" si="0"/>
        <v>May</v>
      </c>
      <c r="C64" s="43">
        <f t="shared" si="1"/>
        <v>46152</v>
      </c>
      <c r="D64" s="44">
        <f t="shared" si="2"/>
        <v>46149</v>
      </c>
      <c r="E64" s="9" t="s">
        <v>31</v>
      </c>
      <c r="F64">
        <f t="shared" si="3"/>
        <v>0</v>
      </c>
      <c r="G64">
        <f t="shared" si="4"/>
        <v>45</v>
      </c>
      <c r="AJ64" s="40">
        <v>46149</v>
      </c>
      <c r="AK64" s="9" t="s">
        <v>204</v>
      </c>
      <c r="AL64" s="9" t="s">
        <v>31</v>
      </c>
      <c r="AM64" s="9"/>
      <c r="AN64" s="9">
        <v>121</v>
      </c>
      <c r="AO64" s="9">
        <v>122</v>
      </c>
      <c r="AP64" s="9">
        <v>131</v>
      </c>
      <c r="AQ64" s="9">
        <v>133</v>
      </c>
      <c r="AR64" s="9">
        <v>149</v>
      </c>
      <c r="AS64" s="9">
        <v>144</v>
      </c>
      <c r="AT64" s="9">
        <v>151</v>
      </c>
      <c r="AU64" s="9">
        <v>149</v>
      </c>
      <c r="AV64" s="9">
        <v>151</v>
      </c>
      <c r="AW64" s="9">
        <v>166</v>
      </c>
      <c r="AX64" s="9">
        <v>180</v>
      </c>
      <c r="AY64" s="9">
        <v>208</v>
      </c>
      <c r="AZ64" s="9">
        <v>192</v>
      </c>
    </row>
    <row r="65" spans="2:52">
      <c r="B65" t="str">
        <f t="shared" si="0"/>
        <v>May</v>
      </c>
      <c r="C65" s="43">
        <f t="shared" si="1"/>
        <v>46152</v>
      </c>
      <c r="D65" s="44">
        <f t="shared" si="2"/>
        <v>46149</v>
      </c>
      <c r="E65" s="9" t="s">
        <v>39</v>
      </c>
      <c r="F65">
        <f t="shared" si="3"/>
        <v>0</v>
      </c>
      <c r="G65">
        <f t="shared" si="4"/>
        <v>12</v>
      </c>
      <c r="AJ65" s="40">
        <v>46149</v>
      </c>
      <c r="AK65" s="9" t="s">
        <v>205</v>
      </c>
      <c r="AL65" s="9" t="s">
        <v>39</v>
      </c>
      <c r="AM65" s="9"/>
      <c r="AN65" s="9">
        <v>75</v>
      </c>
      <c r="AO65" s="9">
        <v>81</v>
      </c>
      <c r="AP65" s="9">
        <v>77</v>
      </c>
      <c r="AQ65" s="9">
        <v>90</v>
      </c>
      <c r="AR65" s="9">
        <v>84</v>
      </c>
      <c r="AS65" s="9">
        <v>71</v>
      </c>
      <c r="AT65" s="9">
        <v>70</v>
      </c>
      <c r="AU65" s="9">
        <v>71</v>
      </c>
      <c r="AV65" s="9">
        <v>87</v>
      </c>
      <c r="AW65" s="9">
        <v>73</v>
      </c>
      <c r="AX65" s="9">
        <v>63</v>
      </c>
      <c r="AY65" s="9">
        <v>50</v>
      </c>
      <c r="AZ65" s="9">
        <v>59</v>
      </c>
    </row>
    <row r="66" spans="2:52">
      <c r="B66" t="str">
        <f t="shared" si="0"/>
        <v>May</v>
      </c>
      <c r="C66" s="43">
        <f t="shared" si="1"/>
        <v>46152</v>
      </c>
      <c r="D66" s="44">
        <f t="shared" si="2"/>
        <v>46149</v>
      </c>
      <c r="E66" s="9" t="s">
        <v>40</v>
      </c>
      <c r="F66">
        <f t="shared" si="3"/>
        <v>0</v>
      </c>
      <c r="G66">
        <f t="shared" si="4"/>
        <v>38</v>
      </c>
      <c r="AJ66" s="40">
        <v>46149</v>
      </c>
      <c r="AK66" s="9" t="s">
        <v>205</v>
      </c>
      <c r="AL66" s="9" t="s">
        <v>40</v>
      </c>
      <c r="AM66" s="9"/>
      <c r="AN66" s="9">
        <v>32</v>
      </c>
      <c r="AO66" s="9">
        <v>74</v>
      </c>
      <c r="AP66" s="9">
        <v>75</v>
      </c>
      <c r="AQ66" s="9">
        <v>0</v>
      </c>
      <c r="AR66" s="9">
        <v>3</v>
      </c>
      <c r="AS66" s="9">
        <v>11</v>
      </c>
      <c r="AT66" s="9">
        <v>3</v>
      </c>
      <c r="AU66" s="9">
        <v>0</v>
      </c>
      <c r="AV66" s="9">
        <v>6</v>
      </c>
      <c r="AW66" s="9">
        <v>5</v>
      </c>
      <c r="AX66" s="9">
        <v>38</v>
      </c>
      <c r="AY66" s="9">
        <v>44</v>
      </c>
      <c r="AZ66" s="9">
        <v>41</v>
      </c>
    </row>
    <row r="67" spans="2:52">
      <c r="B67" t="str">
        <f t="shared" si="0"/>
        <v>May</v>
      </c>
      <c r="C67" s="43">
        <f t="shared" si="1"/>
        <v>46152</v>
      </c>
      <c r="D67" s="44">
        <f t="shared" si="2"/>
        <v>46149</v>
      </c>
      <c r="E67" s="9" t="s">
        <v>41</v>
      </c>
      <c r="F67">
        <f t="shared" si="3"/>
        <v>0</v>
      </c>
      <c r="G67">
        <f t="shared" si="4"/>
        <v>34</v>
      </c>
      <c r="AJ67" s="40">
        <v>46149</v>
      </c>
      <c r="AK67" s="9" t="s">
        <v>41</v>
      </c>
      <c r="AL67" s="9" t="s">
        <v>41</v>
      </c>
      <c r="AM67" s="9"/>
      <c r="AN67" s="9">
        <v>29</v>
      </c>
      <c r="AO67" s="9">
        <v>27</v>
      </c>
      <c r="AP67" s="9">
        <v>23</v>
      </c>
      <c r="AQ67" s="9">
        <v>20</v>
      </c>
      <c r="AR67" s="9">
        <v>21</v>
      </c>
      <c r="AS67" s="9">
        <v>41</v>
      </c>
      <c r="AT67" s="9">
        <v>41</v>
      </c>
      <c r="AU67" s="9">
        <v>0</v>
      </c>
      <c r="AV67" s="9">
        <v>0</v>
      </c>
      <c r="AW67" s="9">
        <v>0</v>
      </c>
      <c r="AX67" s="9">
        <v>36</v>
      </c>
      <c r="AY67" s="9">
        <v>35</v>
      </c>
      <c r="AZ67" s="9">
        <v>39</v>
      </c>
    </row>
    <row r="68" spans="2:52">
      <c r="B68" t="str">
        <f t="shared" si="0"/>
        <v>May</v>
      </c>
      <c r="C68" s="43">
        <f t="shared" si="1"/>
        <v>46152</v>
      </c>
      <c r="D68" s="44">
        <f t="shared" si="2"/>
        <v>46149</v>
      </c>
      <c r="E68" s="9" t="s">
        <v>45</v>
      </c>
      <c r="F68">
        <f t="shared" si="3"/>
        <v>0</v>
      </c>
      <c r="G68">
        <f t="shared" si="4"/>
        <v>-13</v>
      </c>
      <c r="AJ68" s="40">
        <v>46149</v>
      </c>
      <c r="AK68" s="9" t="s">
        <v>202</v>
      </c>
      <c r="AL68" s="9" t="s">
        <v>45</v>
      </c>
      <c r="AM68" s="9"/>
      <c r="AN68" s="9">
        <v>59</v>
      </c>
      <c r="AO68" s="9">
        <v>53</v>
      </c>
      <c r="AP68" s="9">
        <v>60</v>
      </c>
      <c r="AQ68" s="9">
        <v>62</v>
      </c>
      <c r="AR68" s="9">
        <v>101</v>
      </c>
      <c r="AS68" s="9">
        <v>99</v>
      </c>
      <c r="AT68" s="9">
        <v>0</v>
      </c>
      <c r="AU68" s="9">
        <v>22</v>
      </c>
      <c r="AV68" s="9">
        <v>29</v>
      </c>
      <c r="AW68" s="9">
        <v>36</v>
      </c>
      <c r="AX68" s="9">
        <v>38</v>
      </c>
      <c r="AY68" s="9">
        <v>74</v>
      </c>
      <c r="AZ68" s="9">
        <v>0</v>
      </c>
    </row>
    <row r="69" spans="2:52">
      <c r="B69" t="str">
        <f t="shared" ref="B69:B132" si="5">TEXT(C69,"MMM")</f>
        <v>May</v>
      </c>
      <c r="C69" s="43">
        <f t="shared" ref="C69:C132" si="6">AJ69+(8-WEEKDAY(AJ69))</f>
        <v>46152</v>
      </c>
      <c r="D69" s="44">
        <f t="shared" ref="D69:D132" si="7">AJ69</f>
        <v>46149</v>
      </c>
      <c r="E69" s="9" t="s">
        <v>46</v>
      </c>
      <c r="F69">
        <f t="shared" ref="F69:F132" si="8">IF(SUM(V69:AI69)&lt;=0,0,SUM(V69:AI69))</f>
        <v>0</v>
      </c>
      <c r="G69">
        <f t="shared" si="4"/>
        <v>-11</v>
      </c>
      <c r="AJ69" s="40">
        <v>46149</v>
      </c>
      <c r="AK69" s="9" t="s">
        <v>202</v>
      </c>
      <c r="AL69" s="9" t="s">
        <v>46</v>
      </c>
      <c r="AM69" s="9"/>
      <c r="AN69" s="9">
        <v>9</v>
      </c>
      <c r="AO69" s="9">
        <v>0</v>
      </c>
      <c r="AP69" s="9">
        <v>0</v>
      </c>
      <c r="AQ69" s="9">
        <v>0</v>
      </c>
      <c r="AR69" s="9">
        <v>124</v>
      </c>
      <c r="AS69" s="9">
        <v>125</v>
      </c>
      <c r="AT69" s="9">
        <v>0</v>
      </c>
      <c r="AU69" s="9">
        <v>0</v>
      </c>
      <c r="AV69" s="9">
        <v>9</v>
      </c>
      <c r="AW69" s="9">
        <v>42</v>
      </c>
      <c r="AX69" s="9">
        <v>74</v>
      </c>
      <c r="AY69" s="9">
        <v>75</v>
      </c>
      <c r="AZ69" s="9">
        <v>0</v>
      </c>
    </row>
    <row r="70" spans="2:52">
      <c r="B70" t="str">
        <f t="shared" si="5"/>
        <v>May</v>
      </c>
      <c r="C70" s="43">
        <f t="shared" si="6"/>
        <v>46152</v>
      </c>
      <c r="D70" s="44">
        <f t="shared" si="7"/>
        <v>46149</v>
      </c>
      <c r="E70" s="9" t="s">
        <v>47</v>
      </c>
      <c r="F70">
        <f t="shared" si="8"/>
        <v>0</v>
      </c>
      <c r="G70">
        <f t="shared" si="4"/>
        <v>57</v>
      </c>
      <c r="AJ70" s="40">
        <v>46149</v>
      </c>
      <c r="AK70" s="9" t="s">
        <v>202</v>
      </c>
      <c r="AL70" s="9" t="s">
        <v>47</v>
      </c>
      <c r="AM70" s="9"/>
      <c r="AN70" s="9">
        <v>7</v>
      </c>
      <c r="AO70" s="9">
        <v>11</v>
      </c>
      <c r="AP70" s="9">
        <v>10</v>
      </c>
      <c r="AQ70" s="9">
        <v>0</v>
      </c>
      <c r="AR70" s="9">
        <v>38</v>
      </c>
      <c r="AS70" s="9">
        <v>41</v>
      </c>
      <c r="AT70" s="9">
        <v>37</v>
      </c>
      <c r="AU70" s="9">
        <v>40</v>
      </c>
      <c r="AV70" s="9">
        <v>16</v>
      </c>
      <c r="AW70" s="9">
        <v>13</v>
      </c>
      <c r="AX70" s="9">
        <v>14</v>
      </c>
      <c r="AY70" s="9">
        <v>149</v>
      </c>
      <c r="AZ70" s="9">
        <v>152</v>
      </c>
    </row>
    <row r="71" spans="2:52">
      <c r="B71" t="str">
        <f t="shared" si="5"/>
        <v>May</v>
      </c>
      <c r="C71" s="43">
        <f t="shared" si="6"/>
        <v>46152</v>
      </c>
      <c r="D71" s="44">
        <f t="shared" si="7"/>
        <v>46149</v>
      </c>
      <c r="E71" s="9" t="s">
        <v>206</v>
      </c>
      <c r="F71">
        <f t="shared" si="8"/>
        <v>0</v>
      </c>
      <c r="G71">
        <f t="shared" si="4"/>
        <v>-102</v>
      </c>
      <c r="AJ71" s="40">
        <v>46149</v>
      </c>
      <c r="AK71" s="9" t="s">
        <v>43</v>
      </c>
      <c r="AL71" s="9" t="s">
        <v>206</v>
      </c>
      <c r="AM71" s="9"/>
      <c r="AN71" s="9">
        <v>55</v>
      </c>
      <c r="AO71" s="9">
        <v>94</v>
      </c>
      <c r="AP71" s="9">
        <v>102</v>
      </c>
      <c r="AQ71" s="9">
        <v>95</v>
      </c>
      <c r="AR71" s="9">
        <v>89</v>
      </c>
      <c r="AS71" s="9">
        <v>89</v>
      </c>
      <c r="AT71" s="9">
        <v>87</v>
      </c>
      <c r="AU71" s="9">
        <v>96</v>
      </c>
      <c r="AV71" s="9">
        <v>101</v>
      </c>
      <c r="AW71" s="9">
        <v>57</v>
      </c>
      <c r="AX71" s="9">
        <v>67</v>
      </c>
      <c r="AY71" s="9">
        <v>72</v>
      </c>
      <c r="AZ71" s="9">
        <v>43</v>
      </c>
    </row>
    <row r="72" spans="2:52">
      <c r="B72" t="str">
        <f t="shared" si="5"/>
        <v>May</v>
      </c>
      <c r="C72" s="43">
        <f t="shared" si="6"/>
        <v>46152</v>
      </c>
      <c r="D72" s="44">
        <f t="shared" si="7"/>
        <v>46149</v>
      </c>
      <c r="E72" s="9" t="s">
        <v>207</v>
      </c>
      <c r="F72">
        <f t="shared" si="8"/>
        <v>0</v>
      </c>
      <c r="G72">
        <f t="shared" si="4"/>
        <v>0</v>
      </c>
      <c r="AJ72" s="40">
        <v>46149</v>
      </c>
      <c r="AK72" s="9" t="s">
        <v>203</v>
      </c>
      <c r="AL72" s="9" t="s">
        <v>207</v>
      </c>
      <c r="AM72" s="9"/>
      <c r="AN72" s="9">
        <v>42</v>
      </c>
      <c r="AO72" s="9">
        <v>43</v>
      </c>
      <c r="AP72" s="9">
        <v>52</v>
      </c>
      <c r="AQ72" s="9">
        <v>44</v>
      </c>
      <c r="AR72" s="9">
        <v>52</v>
      </c>
      <c r="AS72" s="9">
        <v>54</v>
      </c>
      <c r="AT72" s="9">
        <v>0</v>
      </c>
      <c r="AU72" s="9">
        <v>0</v>
      </c>
      <c r="AV72" s="9">
        <v>0</v>
      </c>
      <c r="AW72" s="9">
        <v>26</v>
      </c>
      <c r="AX72" s="9">
        <v>21</v>
      </c>
      <c r="AY72" s="9">
        <v>27</v>
      </c>
      <c r="AZ72" s="9">
        <v>22</v>
      </c>
    </row>
    <row r="73" spans="2:52">
      <c r="B73" t="str">
        <f t="shared" si="5"/>
        <v>May</v>
      </c>
      <c r="C73" s="43">
        <f t="shared" si="6"/>
        <v>46152</v>
      </c>
      <c r="D73" s="44">
        <f t="shared" si="7"/>
        <v>46149</v>
      </c>
      <c r="E73" s="9" t="s">
        <v>42</v>
      </c>
      <c r="F73">
        <f t="shared" si="8"/>
        <v>0</v>
      </c>
      <c r="G73">
        <f t="shared" si="4"/>
        <v>-15</v>
      </c>
      <c r="AJ73" s="40">
        <v>46149</v>
      </c>
      <c r="AK73" s="9" t="s">
        <v>42</v>
      </c>
      <c r="AL73" s="9" t="s">
        <v>42</v>
      </c>
      <c r="AM73" s="9"/>
      <c r="AN73" s="9">
        <v>44</v>
      </c>
      <c r="AO73" s="9">
        <v>51</v>
      </c>
      <c r="AP73" s="9">
        <v>50</v>
      </c>
      <c r="AQ73" s="9">
        <v>0</v>
      </c>
      <c r="AR73" s="9">
        <v>10</v>
      </c>
      <c r="AS73" s="9">
        <v>0</v>
      </c>
      <c r="AT73" s="9">
        <v>5</v>
      </c>
      <c r="AU73" s="9">
        <v>0</v>
      </c>
      <c r="AV73" s="9">
        <v>5</v>
      </c>
      <c r="AW73" s="9">
        <v>0</v>
      </c>
      <c r="AX73" s="9">
        <v>5</v>
      </c>
      <c r="AY73" s="9">
        <v>12</v>
      </c>
      <c r="AZ73" s="9">
        <v>17</v>
      </c>
    </row>
    <row r="74" spans="2:52">
      <c r="B74" t="str">
        <f t="shared" si="5"/>
        <v>May</v>
      </c>
      <c r="C74" s="43">
        <f t="shared" si="6"/>
        <v>46152</v>
      </c>
      <c r="D74" s="44">
        <f t="shared" si="7"/>
        <v>46150</v>
      </c>
      <c r="E74" s="9" t="s">
        <v>31</v>
      </c>
      <c r="F74">
        <f t="shared" si="8"/>
        <v>0</v>
      </c>
      <c r="G74">
        <f t="shared" si="4"/>
        <v>-164</v>
      </c>
      <c r="AJ74" s="40">
        <v>46150</v>
      </c>
      <c r="AK74" s="9" t="s">
        <v>204</v>
      </c>
      <c r="AL74" s="9" t="s">
        <v>31</v>
      </c>
      <c r="AM74" s="9"/>
      <c r="AN74" s="9">
        <v>137</v>
      </c>
      <c r="AO74" s="9">
        <v>0</v>
      </c>
      <c r="AP74" s="9">
        <v>64</v>
      </c>
      <c r="AQ74" s="9">
        <v>71</v>
      </c>
      <c r="AR74" s="9">
        <v>71</v>
      </c>
      <c r="AS74" s="9">
        <v>140</v>
      </c>
      <c r="AT74" s="9">
        <v>140</v>
      </c>
      <c r="AU74" s="9">
        <v>148</v>
      </c>
      <c r="AV74" s="9">
        <v>148</v>
      </c>
      <c r="AW74" s="9">
        <v>213</v>
      </c>
      <c r="AX74" s="9">
        <v>210</v>
      </c>
      <c r="AY74" s="9">
        <v>0</v>
      </c>
      <c r="AZ74" s="9">
        <v>28</v>
      </c>
    </row>
    <row r="75" spans="2:52">
      <c r="B75" t="str">
        <f t="shared" si="5"/>
        <v>May</v>
      </c>
      <c r="C75" s="43">
        <f t="shared" si="6"/>
        <v>46152</v>
      </c>
      <c r="D75" s="44">
        <f t="shared" si="7"/>
        <v>46150</v>
      </c>
      <c r="E75" s="9" t="s">
        <v>39</v>
      </c>
      <c r="F75">
        <f t="shared" si="8"/>
        <v>0</v>
      </c>
      <c r="G75">
        <f t="shared" si="4"/>
        <v>-59</v>
      </c>
      <c r="AJ75" s="40">
        <v>46150</v>
      </c>
      <c r="AK75" s="9" t="s">
        <v>205</v>
      </c>
      <c r="AL75" s="9" t="s">
        <v>39</v>
      </c>
      <c r="AM75" s="9"/>
      <c r="AN75" s="9">
        <v>110</v>
      </c>
      <c r="AO75" s="9">
        <v>121</v>
      </c>
      <c r="AP75" s="9">
        <v>120</v>
      </c>
      <c r="AQ75" s="9">
        <v>130</v>
      </c>
      <c r="AR75" s="9">
        <v>141</v>
      </c>
      <c r="AS75" s="9">
        <v>138</v>
      </c>
      <c r="AT75" s="9">
        <v>140</v>
      </c>
      <c r="AU75" s="9">
        <v>128</v>
      </c>
      <c r="AV75" s="9">
        <v>0</v>
      </c>
      <c r="AW75" s="9">
        <v>17</v>
      </c>
      <c r="AX75" s="9">
        <v>14</v>
      </c>
      <c r="AY75" s="9">
        <v>16</v>
      </c>
      <c r="AZ75" s="9">
        <v>0</v>
      </c>
    </row>
    <row r="76" spans="2:52">
      <c r="B76" t="str">
        <f t="shared" si="5"/>
        <v>May</v>
      </c>
      <c r="C76" s="43">
        <f t="shared" si="6"/>
        <v>46152</v>
      </c>
      <c r="D76" s="44">
        <f t="shared" si="7"/>
        <v>46150</v>
      </c>
      <c r="E76" s="9" t="s">
        <v>40</v>
      </c>
      <c r="F76">
        <f t="shared" si="8"/>
        <v>0</v>
      </c>
      <c r="G76">
        <f t="shared" si="4"/>
        <v>-24</v>
      </c>
      <c r="AJ76" s="40">
        <v>46150</v>
      </c>
      <c r="AK76" s="9" t="s">
        <v>205</v>
      </c>
      <c r="AL76" s="9" t="s">
        <v>40</v>
      </c>
      <c r="AM76" s="9"/>
      <c r="AN76" s="9">
        <v>29</v>
      </c>
      <c r="AO76" s="9">
        <v>31</v>
      </c>
      <c r="AP76" s="9">
        <v>31</v>
      </c>
      <c r="AQ76" s="9">
        <v>0</v>
      </c>
      <c r="AR76" s="9">
        <v>18</v>
      </c>
      <c r="AS76" s="9">
        <v>24</v>
      </c>
      <c r="AT76" s="9">
        <v>35</v>
      </c>
      <c r="AU76" s="9">
        <v>42</v>
      </c>
      <c r="AV76" s="9">
        <v>36</v>
      </c>
      <c r="AW76" s="9">
        <v>14</v>
      </c>
      <c r="AX76" s="9">
        <v>14</v>
      </c>
      <c r="AY76" s="9">
        <v>17</v>
      </c>
      <c r="AZ76" s="9">
        <v>17</v>
      </c>
    </row>
    <row r="77" spans="2:52">
      <c r="B77" t="str">
        <f t="shared" si="5"/>
        <v>May</v>
      </c>
      <c r="C77" s="43">
        <f t="shared" si="6"/>
        <v>46152</v>
      </c>
      <c r="D77" s="44">
        <f t="shared" si="7"/>
        <v>46150</v>
      </c>
      <c r="E77" s="9" t="s">
        <v>41</v>
      </c>
      <c r="F77">
        <f t="shared" si="8"/>
        <v>0</v>
      </c>
      <c r="G77">
        <f t="shared" si="4"/>
        <v>-30</v>
      </c>
      <c r="AJ77" s="40">
        <v>46150</v>
      </c>
      <c r="AK77" s="9" t="s">
        <v>41</v>
      </c>
      <c r="AL77" s="9" t="s">
        <v>41</v>
      </c>
      <c r="AM77" s="9"/>
      <c r="AN77" s="9">
        <v>163</v>
      </c>
      <c r="AO77" s="9">
        <v>162</v>
      </c>
      <c r="AP77" s="9">
        <v>0</v>
      </c>
      <c r="AQ77" s="9">
        <v>13</v>
      </c>
      <c r="AR77" s="9">
        <v>13</v>
      </c>
      <c r="AS77" s="9">
        <v>11</v>
      </c>
      <c r="AT77" s="9">
        <v>0</v>
      </c>
      <c r="AU77" s="9">
        <v>16</v>
      </c>
      <c r="AV77" s="9">
        <v>20</v>
      </c>
      <c r="AW77" s="9">
        <v>0</v>
      </c>
      <c r="AX77" s="9">
        <v>0</v>
      </c>
      <c r="AY77" s="9">
        <v>9</v>
      </c>
      <c r="AZ77" s="9">
        <v>9</v>
      </c>
    </row>
    <row r="78" spans="2:52">
      <c r="B78" t="str">
        <f t="shared" si="5"/>
        <v>May</v>
      </c>
      <c r="C78" s="43">
        <f t="shared" si="6"/>
        <v>46152</v>
      </c>
      <c r="D78" s="44">
        <f t="shared" si="7"/>
        <v>46150</v>
      </c>
      <c r="E78" s="9" t="s">
        <v>45</v>
      </c>
      <c r="F78">
        <f t="shared" si="8"/>
        <v>0</v>
      </c>
      <c r="G78">
        <f t="shared" si="4"/>
        <v>52</v>
      </c>
      <c r="AJ78" s="40">
        <v>46150</v>
      </c>
      <c r="AK78" s="9" t="s">
        <v>202</v>
      </c>
      <c r="AL78" s="9" t="s">
        <v>45</v>
      </c>
      <c r="AM78" s="9"/>
      <c r="AN78" s="9">
        <v>47</v>
      </c>
      <c r="AO78" s="9">
        <v>44</v>
      </c>
      <c r="AP78" s="9">
        <v>37</v>
      </c>
      <c r="AQ78" s="9">
        <v>31</v>
      </c>
      <c r="AR78" s="9">
        <v>5</v>
      </c>
      <c r="AS78" s="9">
        <v>9</v>
      </c>
      <c r="AT78" s="9">
        <v>0</v>
      </c>
      <c r="AU78" s="9">
        <v>16</v>
      </c>
      <c r="AV78" s="9">
        <v>18</v>
      </c>
      <c r="AW78" s="9">
        <v>75</v>
      </c>
      <c r="AX78" s="9">
        <v>69</v>
      </c>
      <c r="AY78" s="9">
        <v>73</v>
      </c>
      <c r="AZ78" s="9">
        <v>52</v>
      </c>
    </row>
    <row r="79" spans="2:52">
      <c r="B79" t="str">
        <f t="shared" si="5"/>
        <v>May</v>
      </c>
      <c r="C79" s="43">
        <f t="shared" si="6"/>
        <v>46152</v>
      </c>
      <c r="D79" s="44">
        <f t="shared" si="7"/>
        <v>46150</v>
      </c>
      <c r="E79" s="9" t="s">
        <v>46</v>
      </c>
      <c r="F79">
        <f t="shared" si="8"/>
        <v>0</v>
      </c>
      <c r="G79">
        <f t="shared" ref="G79:G142" si="9">SUM(H79:U79)+AZ79-AZ69</f>
        <v>4</v>
      </c>
      <c r="AJ79" s="40">
        <v>46150</v>
      </c>
      <c r="AK79" s="9" t="s">
        <v>202</v>
      </c>
      <c r="AL79" s="9" t="s">
        <v>46</v>
      </c>
      <c r="AM79" s="9"/>
      <c r="AN79" s="9">
        <v>37</v>
      </c>
      <c r="AO79" s="9">
        <v>12</v>
      </c>
      <c r="AP79" s="9">
        <v>14</v>
      </c>
      <c r="AQ79" s="9">
        <v>19</v>
      </c>
      <c r="AR79" s="9">
        <v>71</v>
      </c>
      <c r="AS79" s="9">
        <v>72</v>
      </c>
      <c r="AT79" s="9">
        <v>69</v>
      </c>
      <c r="AU79" s="9">
        <v>67</v>
      </c>
      <c r="AV79" s="9">
        <v>0</v>
      </c>
      <c r="AW79" s="9">
        <v>10</v>
      </c>
      <c r="AX79" s="9">
        <v>6</v>
      </c>
      <c r="AY79" s="9">
        <v>6</v>
      </c>
      <c r="AZ79" s="9">
        <v>4</v>
      </c>
    </row>
    <row r="80" spans="2:52">
      <c r="B80" t="str">
        <f t="shared" si="5"/>
        <v>May</v>
      </c>
      <c r="C80" s="43">
        <f t="shared" si="6"/>
        <v>46152</v>
      </c>
      <c r="D80" s="44">
        <f t="shared" si="7"/>
        <v>46150</v>
      </c>
      <c r="E80" s="9" t="s">
        <v>47</v>
      </c>
      <c r="F80">
        <f t="shared" si="8"/>
        <v>0</v>
      </c>
      <c r="G80">
        <f t="shared" si="9"/>
        <v>-152</v>
      </c>
      <c r="AJ80" s="40">
        <v>46150</v>
      </c>
      <c r="AK80" s="9" t="s">
        <v>202</v>
      </c>
      <c r="AL80" s="9" t="s">
        <v>47</v>
      </c>
      <c r="AM80" s="9"/>
      <c r="AN80" s="9">
        <v>20</v>
      </c>
      <c r="AO80" s="9">
        <v>22</v>
      </c>
      <c r="AP80" s="9">
        <v>23</v>
      </c>
      <c r="AQ80" s="9">
        <v>27</v>
      </c>
      <c r="AR80" s="9">
        <v>26</v>
      </c>
      <c r="AS80" s="9">
        <v>31</v>
      </c>
      <c r="AT80" s="9">
        <v>34</v>
      </c>
      <c r="AU80" s="9">
        <v>35</v>
      </c>
      <c r="AV80" s="9">
        <v>83</v>
      </c>
      <c r="AW80" s="9">
        <v>79</v>
      </c>
      <c r="AX80" s="9">
        <v>81</v>
      </c>
      <c r="AY80" s="9">
        <v>79</v>
      </c>
      <c r="AZ80" s="9">
        <v>0</v>
      </c>
    </row>
    <row r="81" spans="2:52">
      <c r="B81" t="str">
        <f t="shared" si="5"/>
        <v>May</v>
      </c>
      <c r="C81" s="43">
        <f t="shared" si="6"/>
        <v>46152</v>
      </c>
      <c r="D81" s="44">
        <f t="shared" si="7"/>
        <v>46150</v>
      </c>
      <c r="E81" s="9" t="s">
        <v>206</v>
      </c>
      <c r="F81">
        <f t="shared" si="8"/>
        <v>0</v>
      </c>
      <c r="G81">
        <f t="shared" si="9"/>
        <v>-15</v>
      </c>
      <c r="AJ81" s="40">
        <v>46150</v>
      </c>
      <c r="AK81" s="9" t="s">
        <v>43</v>
      </c>
      <c r="AL81" s="9" t="s">
        <v>206</v>
      </c>
      <c r="AM81" s="9"/>
      <c r="AN81" s="9">
        <v>0</v>
      </c>
      <c r="AO81" s="9">
        <v>23</v>
      </c>
      <c r="AP81" s="9">
        <v>54</v>
      </c>
      <c r="AQ81" s="9">
        <v>55</v>
      </c>
      <c r="AR81" s="9">
        <v>0</v>
      </c>
      <c r="AS81" s="9">
        <v>3</v>
      </c>
      <c r="AT81" s="9">
        <v>10</v>
      </c>
      <c r="AU81" s="9">
        <v>15</v>
      </c>
      <c r="AV81" s="9">
        <v>22</v>
      </c>
      <c r="AW81" s="9">
        <v>16</v>
      </c>
      <c r="AX81" s="9">
        <v>19</v>
      </c>
      <c r="AY81" s="9">
        <v>28</v>
      </c>
      <c r="AZ81" s="9">
        <v>28</v>
      </c>
    </row>
    <row r="82" spans="2:52">
      <c r="B82" t="str">
        <f t="shared" si="5"/>
        <v>May</v>
      </c>
      <c r="C82" s="43">
        <f t="shared" si="6"/>
        <v>46152</v>
      </c>
      <c r="D82" s="44">
        <f t="shared" si="7"/>
        <v>46150</v>
      </c>
      <c r="E82" s="9" t="s">
        <v>207</v>
      </c>
      <c r="F82">
        <f t="shared" si="8"/>
        <v>0</v>
      </c>
      <c r="G82">
        <f t="shared" si="9"/>
        <v>-22</v>
      </c>
      <c r="AJ82" s="40">
        <v>46150</v>
      </c>
      <c r="AK82" s="9" t="s">
        <v>203</v>
      </c>
      <c r="AL82" s="9" t="s">
        <v>207</v>
      </c>
      <c r="AM82" s="9"/>
      <c r="AN82" s="9">
        <v>51</v>
      </c>
      <c r="AO82" s="9">
        <v>47</v>
      </c>
      <c r="AP82" s="9">
        <v>42</v>
      </c>
      <c r="AQ82" s="9">
        <v>44</v>
      </c>
      <c r="AR82" s="9">
        <v>40</v>
      </c>
      <c r="AS82" s="9">
        <v>49</v>
      </c>
      <c r="AT82" s="9">
        <v>0</v>
      </c>
      <c r="AU82" s="9">
        <v>15</v>
      </c>
      <c r="AV82" s="9">
        <v>0</v>
      </c>
      <c r="AW82" s="9">
        <v>22</v>
      </c>
      <c r="AX82" s="9">
        <v>21</v>
      </c>
      <c r="AY82" s="9">
        <v>19</v>
      </c>
      <c r="AZ82" s="9">
        <v>0</v>
      </c>
    </row>
    <row r="83" spans="2:52">
      <c r="B83" t="str">
        <f t="shared" si="5"/>
        <v>May</v>
      </c>
      <c r="C83" s="43">
        <f t="shared" si="6"/>
        <v>46152</v>
      </c>
      <c r="D83" s="44">
        <f t="shared" si="7"/>
        <v>46150</v>
      </c>
      <c r="E83" s="9" t="s">
        <v>42</v>
      </c>
      <c r="F83">
        <f t="shared" si="8"/>
        <v>0</v>
      </c>
      <c r="G83">
        <f t="shared" si="9"/>
        <v>-17</v>
      </c>
      <c r="AJ83" s="40">
        <v>46150</v>
      </c>
      <c r="AK83" s="9" t="s">
        <v>42</v>
      </c>
      <c r="AL83" s="9" t="s">
        <v>42</v>
      </c>
      <c r="AM83" s="9"/>
      <c r="AN83" s="9">
        <v>15</v>
      </c>
      <c r="AO83" s="9">
        <v>19</v>
      </c>
      <c r="AP83" s="9">
        <v>19</v>
      </c>
      <c r="AQ83" s="9">
        <v>25</v>
      </c>
      <c r="AR83" s="9">
        <v>0</v>
      </c>
      <c r="AS83" s="9">
        <v>0</v>
      </c>
      <c r="AT83" s="9">
        <v>0</v>
      </c>
      <c r="AU83" s="9">
        <v>19</v>
      </c>
      <c r="AV83" s="9">
        <v>0</v>
      </c>
      <c r="AW83" s="9">
        <v>1</v>
      </c>
      <c r="AX83" s="9">
        <v>0</v>
      </c>
      <c r="AY83" s="9">
        <v>1</v>
      </c>
      <c r="AZ83" s="9">
        <v>0</v>
      </c>
    </row>
    <row r="84" spans="2:52">
      <c r="B84" t="str">
        <f t="shared" si="5"/>
        <v>May</v>
      </c>
      <c r="C84" s="43">
        <f t="shared" si="6"/>
        <v>46152</v>
      </c>
      <c r="D84" s="44">
        <f t="shared" si="7"/>
        <v>46151</v>
      </c>
      <c r="E84" s="9" t="s">
        <v>31</v>
      </c>
      <c r="F84">
        <f t="shared" si="8"/>
        <v>0</v>
      </c>
      <c r="G84">
        <f t="shared" si="9"/>
        <v>0</v>
      </c>
      <c r="AJ84" s="40">
        <v>46151</v>
      </c>
      <c r="AK84" s="9" t="s">
        <v>204</v>
      </c>
      <c r="AL84" s="9" t="s">
        <v>31</v>
      </c>
      <c r="AM84" s="9"/>
      <c r="AN84" s="9">
        <v>0</v>
      </c>
      <c r="AO84" s="9">
        <v>0</v>
      </c>
      <c r="AP84" s="9">
        <v>0</v>
      </c>
      <c r="AQ84" s="9">
        <v>52</v>
      </c>
      <c r="AR84" s="9">
        <v>69</v>
      </c>
      <c r="AS84" s="9">
        <v>81</v>
      </c>
      <c r="AT84" s="9">
        <v>72</v>
      </c>
      <c r="AU84" s="9">
        <v>96</v>
      </c>
      <c r="AV84" s="9">
        <v>0</v>
      </c>
      <c r="AW84" s="9">
        <v>2</v>
      </c>
      <c r="AX84" s="9">
        <v>0</v>
      </c>
      <c r="AY84" s="9">
        <v>15</v>
      </c>
      <c r="AZ84" s="9">
        <v>28</v>
      </c>
    </row>
    <row r="85" spans="2:52">
      <c r="B85" t="str">
        <f t="shared" si="5"/>
        <v>May</v>
      </c>
      <c r="C85" s="43">
        <f t="shared" si="6"/>
        <v>46152</v>
      </c>
      <c r="D85" s="44">
        <f t="shared" si="7"/>
        <v>46151</v>
      </c>
      <c r="E85" s="9" t="s">
        <v>39</v>
      </c>
      <c r="F85">
        <f t="shared" si="8"/>
        <v>0</v>
      </c>
      <c r="G85">
        <f t="shared" si="9"/>
        <v>64</v>
      </c>
      <c r="AJ85" s="40">
        <v>46151</v>
      </c>
      <c r="AK85" s="9" t="s">
        <v>205</v>
      </c>
      <c r="AL85" s="9" t="s">
        <v>39</v>
      </c>
      <c r="AM85" s="9"/>
      <c r="AN85" s="9">
        <v>76</v>
      </c>
      <c r="AO85" s="9">
        <v>139</v>
      </c>
      <c r="AP85" s="9">
        <v>145</v>
      </c>
      <c r="AQ85" s="9">
        <v>180</v>
      </c>
      <c r="AR85" s="9">
        <v>229</v>
      </c>
      <c r="AS85" s="9">
        <v>224</v>
      </c>
      <c r="AT85" s="9">
        <v>226</v>
      </c>
      <c r="AU85" s="9">
        <v>219</v>
      </c>
      <c r="AV85" s="9">
        <v>0</v>
      </c>
      <c r="AW85" s="9">
        <v>13</v>
      </c>
      <c r="AX85" s="9">
        <v>0</v>
      </c>
      <c r="AY85" s="9">
        <v>8</v>
      </c>
      <c r="AZ85" s="9">
        <v>64</v>
      </c>
    </row>
    <row r="86" spans="2:52">
      <c r="B86" t="str">
        <f t="shared" si="5"/>
        <v>May</v>
      </c>
      <c r="C86" s="43">
        <f t="shared" si="6"/>
        <v>46152</v>
      </c>
      <c r="D86" s="44">
        <f t="shared" si="7"/>
        <v>46151</v>
      </c>
      <c r="E86" s="9" t="s">
        <v>40</v>
      </c>
      <c r="F86">
        <f t="shared" si="8"/>
        <v>0</v>
      </c>
      <c r="G86">
        <f t="shared" si="9"/>
        <v>48</v>
      </c>
      <c r="AJ86" s="40">
        <v>46151</v>
      </c>
      <c r="AK86" s="9" t="s">
        <v>205</v>
      </c>
      <c r="AL86" s="9" t="s">
        <v>40</v>
      </c>
      <c r="AM86" s="9"/>
      <c r="AN86" s="9">
        <v>95</v>
      </c>
      <c r="AO86" s="9">
        <v>0</v>
      </c>
      <c r="AP86" s="9">
        <v>3</v>
      </c>
      <c r="AQ86" s="9">
        <v>36</v>
      </c>
      <c r="AR86" s="9">
        <v>37</v>
      </c>
      <c r="AS86" s="9">
        <v>27</v>
      </c>
      <c r="AT86" s="9">
        <v>31</v>
      </c>
      <c r="AU86" s="9">
        <v>38</v>
      </c>
      <c r="AV86" s="9">
        <v>34</v>
      </c>
      <c r="AW86" s="9">
        <v>44</v>
      </c>
      <c r="AX86" s="9">
        <v>56</v>
      </c>
      <c r="AY86" s="9">
        <v>68</v>
      </c>
      <c r="AZ86" s="9">
        <v>65</v>
      </c>
    </row>
    <row r="87" spans="2:52">
      <c r="B87" t="str">
        <f t="shared" si="5"/>
        <v>May</v>
      </c>
      <c r="C87" s="43">
        <f t="shared" si="6"/>
        <v>46152</v>
      </c>
      <c r="D87" s="44">
        <f t="shared" si="7"/>
        <v>46151</v>
      </c>
      <c r="E87" s="9" t="s">
        <v>41</v>
      </c>
      <c r="F87">
        <f t="shared" si="8"/>
        <v>0</v>
      </c>
      <c r="G87">
        <f t="shared" si="9"/>
        <v>68</v>
      </c>
      <c r="AJ87" s="40">
        <v>46151</v>
      </c>
      <c r="AK87" s="9" t="s">
        <v>41</v>
      </c>
      <c r="AL87" s="9" t="s">
        <v>41</v>
      </c>
      <c r="AM87" s="9"/>
      <c r="AN87" s="9">
        <v>3</v>
      </c>
      <c r="AO87" s="9">
        <v>8</v>
      </c>
      <c r="AP87" s="9">
        <v>7</v>
      </c>
      <c r="AQ87" s="9">
        <v>10</v>
      </c>
      <c r="AR87" s="9">
        <v>30</v>
      </c>
      <c r="AS87" s="9">
        <v>0</v>
      </c>
      <c r="AT87" s="9">
        <v>4</v>
      </c>
      <c r="AU87" s="9">
        <v>65</v>
      </c>
      <c r="AV87" s="9">
        <v>70</v>
      </c>
      <c r="AW87" s="9">
        <v>68</v>
      </c>
      <c r="AX87" s="9">
        <v>71</v>
      </c>
      <c r="AY87" s="9">
        <v>72</v>
      </c>
      <c r="AZ87" s="9">
        <v>77</v>
      </c>
    </row>
    <row r="88" spans="2:52">
      <c r="B88" t="str">
        <f t="shared" si="5"/>
        <v>May</v>
      </c>
      <c r="C88" s="43">
        <f t="shared" si="6"/>
        <v>46152</v>
      </c>
      <c r="D88" s="44">
        <f t="shared" si="7"/>
        <v>46151</v>
      </c>
      <c r="E88" s="9" t="s">
        <v>45</v>
      </c>
      <c r="F88">
        <f t="shared" si="8"/>
        <v>0</v>
      </c>
      <c r="G88">
        <f t="shared" si="9"/>
        <v>-52</v>
      </c>
      <c r="AJ88" s="40">
        <v>46151</v>
      </c>
      <c r="AK88" s="9" t="s">
        <v>202</v>
      </c>
      <c r="AL88" s="9" t="s">
        <v>45</v>
      </c>
      <c r="AM88" s="9"/>
      <c r="AN88" s="9">
        <v>56</v>
      </c>
      <c r="AO88" s="9">
        <v>63</v>
      </c>
      <c r="AP88" s="9">
        <v>0</v>
      </c>
      <c r="AQ88" s="9">
        <v>25</v>
      </c>
      <c r="AR88" s="9">
        <v>23</v>
      </c>
      <c r="AS88" s="9">
        <v>25</v>
      </c>
      <c r="AT88" s="9">
        <v>21</v>
      </c>
      <c r="AU88" s="9">
        <v>0</v>
      </c>
      <c r="AV88" s="9">
        <v>8</v>
      </c>
      <c r="AW88" s="9">
        <v>13</v>
      </c>
      <c r="AX88" s="9">
        <v>7</v>
      </c>
      <c r="AY88" s="9">
        <v>0</v>
      </c>
      <c r="AZ88" s="9">
        <v>0</v>
      </c>
    </row>
    <row r="89" spans="2:52">
      <c r="B89" t="str">
        <f t="shared" si="5"/>
        <v>May</v>
      </c>
      <c r="C89" s="43">
        <f t="shared" si="6"/>
        <v>46152</v>
      </c>
      <c r="D89" s="44">
        <f t="shared" si="7"/>
        <v>46151</v>
      </c>
      <c r="E89" s="9" t="s">
        <v>46</v>
      </c>
      <c r="F89">
        <f t="shared" si="8"/>
        <v>0</v>
      </c>
      <c r="G89">
        <f t="shared" si="9"/>
        <v>10</v>
      </c>
      <c r="AJ89" s="40">
        <v>46151</v>
      </c>
      <c r="AK89" s="9" t="s">
        <v>202</v>
      </c>
      <c r="AL89" s="9" t="s">
        <v>46</v>
      </c>
      <c r="AM89" s="9"/>
      <c r="AN89" s="9">
        <v>0</v>
      </c>
      <c r="AO89" s="9">
        <v>3</v>
      </c>
      <c r="AP89" s="9">
        <v>6</v>
      </c>
      <c r="AQ89" s="9">
        <v>2</v>
      </c>
      <c r="AR89" s="9">
        <v>3</v>
      </c>
      <c r="AS89" s="9">
        <v>53</v>
      </c>
      <c r="AT89" s="9">
        <v>55</v>
      </c>
      <c r="AU89" s="9">
        <v>52</v>
      </c>
      <c r="AV89" s="9">
        <v>13</v>
      </c>
      <c r="AW89" s="9">
        <v>10</v>
      </c>
      <c r="AX89" s="9">
        <v>10</v>
      </c>
      <c r="AY89" s="9">
        <v>11</v>
      </c>
      <c r="AZ89" s="9">
        <v>14</v>
      </c>
    </row>
    <row r="90" spans="2:52">
      <c r="B90" t="str">
        <f t="shared" si="5"/>
        <v>May</v>
      </c>
      <c r="C90" s="43">
        <f t="shared" si="6"/>
        <v>46152</v>
      </c>
      <c r="D90" s="44">
        <f t="shared" si="7"/>
        <v>46151</v>
      </c>
      <c r="E90" s="9" t="s">
        <v>47</v>
      </c>
      <c r="F90">
        <f t="shared" si="8"/>
        <v>0</v>
      </c>
      <c r="G90">
        <f t="shared" si="9"/>
        <v>0</v>
      </c>
      <c r="AJ90" s="40">
        <v>46151</v>
      </c>
      <c r="AK90" s="9" t="s">
        <v>202</v>
      </c>
      <c r="AL90" s="9" t="s">
        <v>47</v>
      </c>
      <c r="AM90" s="9"/>
      <c r="AN90" s="9">
        <v>11</v>
      </c>
      <c r="AO90" s="9">
        <v>13</v>
      </c>
      <c r="AP90" s="9">
        <v>15</v>
      </c>
      <c r="AQ90" s="9">
        <v>16</v>
      </c>
      <c r="AR90" s="9">
        <v>15</v>
      </c>
      <c r="AS90" s="9">
        <v>15</v>
      </c>
      <c r="AT90" s="9">
        <v>12</v>
      </c>
      <c r="AU90" s="9">
        <v>11</v>
      </c>
      <c r="AV90" s="9">
        <v>9</v>
      </c>
      <c r="AW90" s="9">
        <v>13</v>
      </c>
      <c r="AX90" s="9">
        <v>13</v>
      </c>
      <c r="AY90" s="9">
        <v>0</v>
      </c>
      <c r="AZ90" s="9">
        <v>0</v>
      </c>
    </row>
    <row r="91" spans="2:52">
      <c r="B91" t="str">
        <f t="shared" si="5"/>
        <v>May</v>
      </c>
      <c r="C91" s="43">
        <f t="shared" si="6"/>
        <v>46152</v>
      </c>
      <c r="D91" s="44">
        <f t="shared" si="7"/>
        <v>46151</v>
      </c>
      <c r="E91" s="9" t="s">
        <v>206</v>
      </c>
      <c r="F91">
        <f t="shared" si="8"/>
        <v>0</v>
      </c>
      <c r="G91">
        <f t="shared" si="9"/>
        <v>-5</v>
      </c>
      <c r="AJ91" s="40">
        <v>46151</v>
      </c>
      <c r="AK91" s="9" t="s">
        <v>43</v>
      </c>
      <c r="AL91" s="9" t="s">
        <v>206</v>
      </c>
      <c r="AM91" s="9"/>
      <c r="AN91" s="9">
        <v>21</v>
      </c>
      <c r="AO91" s="9">
        <v>17</v>
      </c>
      <c r="AP91" s="9">
        <v>0</v>
      </c>
      <c r="AQ91" s="9">
        <v>3</v>
      </c>
      <c r="AR91" s="9">
        <v>8</v>
      </c>
      <c r="AS91" s="9">
        <v>0</v>
      </c>
      <c r="AT91" s="9">
        <v>0</v>
      </c>
      <c r="AU91" s="9">
        <v>20</v>
      </c>
      <c r="AV91" s="9">
        <v>30</v>
      </c>
      <c r="AW91" s="9">
        <v>37</v>
      </c>
      <c r="AX91" s="9">
        <v>0</v>
      </c>
      <c r="AY91" s="9">
        <v>17</v>
      </c>
      <c r="AZ91" s="9">
        <v>23</v>
      </c>
    </row>
    <row r="92" spans="2:52">
      <c r="B92" t="str">
        <f t="shared" si="5"/>
        <v>May</v>
      </c>
      <c r="C92" s="43">
        <f t="shared" si="6"/>
        <v>46152</v>
      </c>
      <c r="D92" s="44">
        <f t="shared" si="7"/>
        <v>46151</v>
      </c>
      <c r="E92" s="9" t="s">
        <v>207</v>
      </c>
      <c r="F92">
        <f t="shared" si="8"/>
        <v>0</v>
      </c>
      <c r="G92">
        <f t="shared" si="9"/>
        <v>201</v>
      </c>
      <c r="AJ92" s="40">
        <v>46151</v>
      </c>
      <c r="AK92" s="9" t="s">
        <v>203</v>
      </c>
      <c r="AL92" s="9" t="s">
        <v>207</v>
      </c>
      <c r="AM92" s="9"/>
      <c r="AN92" s="9">
        <v>54</v>
      </c>
      <c r="AO92" s="9">
        <v>240</v>
      </c>
      <c r="AP92" s="9">
        <v>240</v>
      </c>
      <c r="AQ92" s="9">
        <v>238</v>
      </c>
      <c r="AR92" s="9">
        <v>240</v>
      </c>
      <c r="AS92" s="9">
        <v>240</v>
      </c>
      <c r="AT92" s="9">
        <v>199</v>
      </c>
      <c r="AU92" s="9">
        <v>207</v>
      </c>
      <c r="AV92" s="9">
        <v>207</v>
      </c>
      <c r="AW92" s="9">
        <v>208</v>
      </c>
      <c r="AX92" s="9">
        <v>187</v>
      </c>
      <c r="AY92" s="9">
        <v>194</v>
      </c>
      <c r="AZ92" s="9">
        <v>201</v>
      </c>
    </row>
    <row r="93" spans="2:52">
      <c r="B93" t="str">
        <f t="shared" si="5"/>
        <v>May</v>
      </c>
      <c r="C93" s="43">
        <f t="shared" si="6"/>
        <v>46152</v>
      </c>
      <c r="D93" s="44">
        <f t="shared" si="7"/>
        <v>46151</v>
      </c>
      <c r="E93" s="9" t="s">
        <v>42</v>
      </c>
      <c r="F93">
        <f t="shared" si="8"/>
        <v>0</v>
      </c>
      <c r="G93">
        <f t="shared" si="9"/>
        <v>162</v>
      </c>
      <c r="AJ93" s="40">
        <v>46151</v>
      </c>
      <c r="AK93" s="9" t="s">
        <v>42</v>
      </c>
      <c r="AL93" s="9" t="s">
        <v>42</v>
      </c>
      <c r="AM93" s="9"/>
      <c r="AN93" s="9">
        <v>13</v>
      </c>
      <c r="AO93" s="9">
        <v>15</v>
      </c>
      <c r="AP93" s="9">
        <v>11</v>
      </c>
      <c r="AQ93" s="9">
        <v>5</v>
      </c>
      <c r="AR93" s="9">
        <v>2</v>
      </c>
      <c r="AS93" s="9">
        <v>0</v>
      </c>
      <c r="AT93" s="9">
        <v>2</v>
      </c>
      <c r="AU93" s="9">
        <v>0</v>
      </c>
      <c r="AV93" s="9">
        <v>2</v>
      </c>
      <c r="AW93" s="9">
        <v>3</v>
      </c>
      <c r="AX93" s="9">
        <v>10</v>
      </c>
      <c r="AY93" s="9">
        <v>156</v>
      </c>
      <c r="AZ93" s="9">
        <v>162</v>
      </c>
    </row>
    <row r="94" spans="2:52">
      <c r="B94" t="str">
        <f t="shared" si="5"/>
        <v>May</v>
      </c>
      <c r="C94" s="43">
        <f t="shared" si="6"/>
        <v>46159</v>
      </c>
      <c r="D94" s="44">
        <f t="shared" si="7"/>
        <v>46152</v>
      </c>
      <c r="E94" s="9" t="s">
        <v>31</v>
      </c>
      <c r="F94">
        <f t="shared" si="8"/>
        <v>0</v>
      </c>
      <c r="G94">
        <f t="shared" si="9"/>
        <v>-9</v>
      </c>
      <c r="AJ94" s="40">
        <v>46152</v>
      </c>
      <c r="AK94" s="9" t="s">
        <v>204</v>
      </c>
      <c r="AL94" s="9" t="s">
        <v>31</v>
      </c>
      <c r="AM94" s="9"/>
      <c r="AN94" s="9">
        <v>110</v>
      </c>
      <c r="AO94" s="9">
        <v>101</v>
      </c>
      <c r="AP94" s="9">
        <v>0</v>
      </c>
      <c r="AQ94" s="9">
        <v>0</v>
      </c>
      <c r="AR94" s="9">
        <v>37</v>
      </c>
      <c r="AS94" s="9">
        <v>14</v>
      </c>
      <c r="AT94" s="9">
        <v>11</v>
      </c>
      <c r="AU94" s="9">
        <v>10</v>
      </c>
      <c r="AV94" s="9">
        <v>35</v>
      </c>
      <c r="AW94" s="9">
        <v>20</v>
      </c>
      <c r="AX94" s="9">
        <v>10</v>
      </c>
      <c r="AY94" s="9">
        <v>0</v>
      </c>
      <c r="AZ94" s="9">
        <v>19</v>
      </c>
    </row>
    <row r="95" spans="2:52">
      <c r="B95" t="str">
        <f t="shared" si="5"/>
        <v>May</v>
      </c>
      <c r="C95" s="43">
        <f t="shared" si="6"/>
        <v>46159</v>
      </c>
      <c r="D95" s="44">
        <f t="shared" si="7"/>
        <v>46152</v>
      </c>
      <c r="E95" s="9" t="s">
        <v>39</v>
      </c>
      <c r="F95">
        <f t="shared" si="8"/>
        <v>0</v>
      </c>
      <c r="G95">
        <f t="shared" si="9"/>
        <v>-64</v>
      </c>
      <c r="AJ95" s="40">
        <v>46152</v>
      </c>
      <c r="AK95" s="9" t="s">
        <v>205</v>
      </c>
      <c r="AL95" s="9" t="s">
        <v>39</v>
      </c>
      <c r="AM95" s="9"/>
      <c r="AN95" s="9">
        <v>111</v>
      </c>
      <c r="AO95" s="9">
        <v>118</v>
      </c>
      <c r="AP95" s="9">
        <v>103</v>
      </c>
      <c r="AQ95" s="9">
        <v>98</v>
      </c>
      <c r="AR95" s="9">
        <v>77</v>
      </c>
      <c r="AS95" s="9">
        <v>69</v>
      </c>
      <c r="AT95" s="9">
        <v>0</v>
      </c>
      <c r="AU95" s="9">
        <v>10</v>
      </c>
      <c r="AV95" s="9">
        <v>21</v>
      </c>
      <c r="AW95" s="9">
        <v>30</v>
      </c>
      <c r="AX95" s="9">
        <v>15</v>
      </c>
      <c r="AY95" s="9">
        <v>12</v>
      </c>
      <c r="AZ95" s="9">
        <v>0</v>
      </c>
    </row>
    <row r="96" spans="2:52">
      <c r="B96" t="str">
        <f t="shared" si="5"/>
        <v>May</v>
      </c>
      <c r="C96" s="43">
        <f t="shared" si="6"/>
        <v>46159</v>
      </c>
      <c r="D96" s="44">
        <f t="shared" si="7"/>
        <v>46152</v>
      </c>
      <c r="E96" s="9" t="s">
        <v>40</v>
      </c>
      <c r="F96">
        <f t="shared" si="8"/>
        <v>0</v>
      </c>
      <c r="G96">
        <f t="shared" si="9"/>
        <v>91</v>
      </c>
      <c r="AJ96" s="40">
        <v>46152</v>
      </c>
      <c r="AK96" s="9" t="s">
        <v>205</v>
      </c>
      <c r="AL96" s="9" t="s">
        <v>40</v>
      </c>
      <c r="AM96" s="9"/>
      <c r="AN96" s="9">
        <v>69</v>
      </c>
      <c r="AO96" s="9">
        <v>72</v>
      </c>
      <c r="AP96" s="9">
        <v>97</v>
      </c>
      <c r="AQ96" s="9">
        <v>99</v>
      </c>
      <c r="AR96" s="9">
        <v>108</v>
      </c>
      <c r="AS96" s="9">
        <v>100</v>
      </c>
      <c r="AT96" s="9">
        <v>92</v>
      </c>
      <c r="AU96" s="9">
        <v>88</v>
      </c>
      <c r="AV96" s="9">
        <v>94</v>
      </c>
      <c r="AW96" s="9">
        <v>85</v>
      </c>
      <c r="AX96" s="9">
        <v>97</v>
      </c>
      <c r="AY96" s="9">
        <v>104</v>
      </c>
      <c r="AZ96" s="9">
        <v>156</v>
      </c>
    </row>
    <row r="97" spans="2:52">
      <c r="B97" t="str">
        <f t="shared" si="5"/>
        <v>May</v>
      </c>
      <c r="C97" s="43">
        <f t="shared" si="6"/>
        <v>46159</v>
      </c>
      <c r="D97" s="44">
        <f t="shared" si="7"/>
        <v>46152</v>
      </c>
      <c r="E97" s="9" t="s">
        <v>41</v>
      </c>
      <c r="F97">
        <f t="shared" si="8"/>
        <v>0</v>
      </c>
      <c r="G97">
        <f t="shared" si="9"/>
        <v>36</v>
      </c>
      <c r="AJ97" s="40">
        <v>46152</v>
      </c>
      <c r="AK97" s="9" t="s">
        <v>41</v>
      </c>
      <c r="AL97" s="9" t="s">
        <v>41</v>
      </c>
      <c r="AM97" s="9"/>
      <c r="AN97" s="9">
        <v>5</v>
      </c>
      <c r="AO97" s="9">
        <v>3</v>
      </c>
      <c r="AP97" s="9">
        <v>2</v>
      </c>
      <c r="AQ97" s="9">
        <v>6</v>
      </c>
      <c r="AR97" s="9">
        <v>121</v>
      </c>
      <c r="AS97" s="9">
        <v>117</v>
      </c>
      <c r="AT97" s="9">
        <v>114</v>
      </c>
      <c r="AU97" s="9">
        <v>103</v>
      </c>
      <c r="AV97" s="9">
        <v>106</v>
      </c>
      <c r="AW97" s="9">
        <v>106</v>
      </c>
      <c r="AX97" s="9">
        <v>110</v>
      </c>
      <c r="AY97" s="9">
        <v>115</v>
      </c>
      <c r="AZ97" s="9">
        <v>113</v>
      </c>
    </row>
    <row r="98" spans="2:52">
      <c r="B98" t="str">
        <f t="shared" si="5"/>
        <v>May</v>
      </c>
      <c r="C98" s="43">
        <f t="shared" si="6"/>
        <v>46159</v>
      </c>
      <c r="D98" s="44">
        <f t="shared" si="7"/>
        <v>46152</v>
      </c>
      <c r="E98" s="9" t="s">
        <v>45</v>
      </c>
      <c r="F98">
        <f t="shared" si="8"/>
        <v>0</v>
      </c>
      <c r="G98">
        <f t="shared" si="9"/>
        <v>39</v>
      </c>
      <c r="AJ98" s="40">
        <v>46152</v>
      </c>
      <c r="AK98" s="9" t="s">
        <v>202</v>
      </c>
      <c r="AL98" s="9" t="s">
        <v>45</v>
      </c>
      <c r="AM98" s="9"/>
      <c r="AN98" s="9">
        <v>45</v>
      </c>
      <c r="AO98" s="9">
        <v>44</v>
      </c>
      <c r="AP98" s="9">
        <v>39</v>
      </c>
      <c r="AQ98" s="9">
        <v>0</v>
      </c>
      <c r="AR98" s="9">
        <v>8</v>
      </c>
      <c r="AS98" s="9">
        <v>11</v>
      </c>
      <c r="AT98" s="9">
        <v>16</v>
      </c>
      <c r="AU98" s="9">
        <v>0</v>
      </c>
      <c r="AV98" s="9">
        <v>19</v>
      </c>
      <c r="AW98" s="9">
        <v>24</v>
      </c>
      <c r="AX98" s="9">
        <v>31</v>
      </c>
      <c r="AY98" s="9">
        <v>43</v>
      </c>
      <c r="AZ98" s="9">
        <v>39</v>
      </c>
    </row>
    <row r="99" spans="2:52">
      <c r="B99" t="str">
        <f t="shared" si="5"/>
        <v>May</v>
      </c>
      <c r="C99" s="43">
        <f t="shared" si="6"/>
        <v>46159</v>
      </c>
      <c r="D99" s="44">
        <f t="shared" si="7"/>
        <v>46152</v>
      </c>
      <c r="E99" s="9" t="s">
        <v>46</v>
      </c>
      <c r="F99">
        <f t="shared" si="8"/>
        <v>0</v>
      </c>
      <c r="G99">
        <f t="shared" si="9"/>
        <v>215</v>
      </c>
      <c r="AJ99" s="40">
        <v>46152</v>
      </c>
      <c r="AK99" s="9" t="s">
        <v>202</v>
      </c>
      <c r="AL99" s="9" t="s">
        <v>46</v>
      </c>
      <c r="AM99" s="9"/>
      <c r="AN99" s="9">
        <v>21</v>
      </c>
      <c r="AO99" s="9">
        <v>20</v>
      </c>
      <c r="AP99" s="9">
        <v>19</v>
      </c>
      <c r="AQ99" s="9">
        <v>124</v>
      </c>
      <c r="AR99" s="9">
        <v>102</v>
      </c>
      <c r="AS99" s="9">
        <v>100</v>
      </c>
      <c r="AT99" s="9">
        <v>96</v>
      </c>
      <c r="AU99" s="9">
        <v>96</v>
      </c>
      <c r="AV99" s="9">
        <v>100</v>
      </c>
      <c r="AW99" s="9">
        <v>96</v>
      </c>
      <c r="AX99" s="9">
        <v>97</v>
      </c>
      <c r="AY99" s="9">
        <v>228</v>
      </c>
      <c r="AZ99" s="9">
        <v>229</v>
      </c>
    </row>
    <row r="100" spans="2:52">
      <c r="B100" t="str">
        <f t="shared" si="5"/>
        <v>May</v>
      </c>
      <c r="C100" s="43">
        <f t="shared" si="6"/>
        <v>46159</v>
      </c>
      <c r="D100" s="44">
        <f t="shared" si="7"/>
        <v>46152</v>
      </c>
      <c r="E100" s="9" t="s">
        <v>47</v>
      </c>
      <c r="F100">
        <f t="shared" si="8"/>
        <v>0</v>
      </c>
      <c r="G100">
        <f t="shared" si="9"/>
        <v>161</v>
      </c>
      <c r="AJ100" s="40">
        <v>46152</v>
      </c>
      <c r="AK100" s="9" t="s">
        <v>202</v>
      </c>
      <c r="AL100" s="9" t="s">
        <v>47</v>
      </c>
      <c r="AM100" s="9"/>
      <c r="AN100" s="9">
        <v>34</v>
      </c>
      <c r="AO100" s="9">
        <v>0</v>
      </c>
      <c r="AP100" s="9">
        <v>12</v>
      </c>
      <c r="AQ100" s="9">
        <v>11</v>
      </c>
      <c r="AR100" s="9">
        <v>8</v>
      </c>
      <c r="AS100" s="9">
        <v>12</v>
      </c>
      <c r="AT100" s="9">
        <v>0</v>
      </c>
      <c r="AU100" s="9">
        <v>0</v>
      </c>
      <c r="AV100" s="9">
        <v>16</v>
      </c>
      <c r="AW100" s="9">
        <v>18</v>
      </c>
      <c r="AX100" s="9">
        <v>157</v>
      </c>
      <c r="AY100" s="9">
        <v>159</v>
      </c>
      <c r="AZ100" s="9">
        <v>161</v>
      </c>
    </row>
    <row r="101" spans="2:52">
      <c r="B101" t="str">
        <f t="shared" si="5"/>
        <v>May</v>
      </c>
      <c r="C101" s="43">
        <f t="shared" si="6"/>
        <v>46159</v>
      </c>
      <c r="D101" s="44">
        <f t="shared" si="7"/>
        <v>46152</v>
      </c>
      <c r="E101" s="9" t="s">
        <v>206</v>
      </c>
      <c r="F101">
        <f t="shared" si="8"/>
        <v>0</v>
      </c>
      <c r="G101">
        <f t="shared" si="9"/>
        <v>-23</v>
      </c>
      <c r="AJ101" s="40">
        <v>46152</v>
      </c>
      <c r="AK101" s="9" t="s">
        <v>43</v>
      </c>
      <c r="AL101" s="9" t="s">
        <v>206</v>
      </c>
      <c r="AM101" s="9"/>
      <c r="AN101" s="9">
        <v>60</v>
      </c>
      <c r="AO101" s="9">
        <v>0</v>
      </c>
      <c r="AP101" s="9">
        <v>0</v>
      </c>
      <c r="AQ101" s="9">
        <v>0</v>
      </c>
      <c r="AR101" s="9">
        <v>35</v>
      </c>
      <c r="AS101" s="9">
        <v>0</v>
      </c>
      <c r="AT101" s="9">
        <v>17</v>
      </c>
      <c r="AU101" s="9">
        <v>11</v>
      </c>
      <c r="AV101" s="9">
        <v>14</v>
      </c>
      <c r="AW101" s="9">
        <v>24</v>
      </c>
      <c r="AX101" s="9">
        <v>26</v>
      </c>
      <c r="AY101" s="9">
        <v>0</v>
      </c>
      <c r="AZ101" s="9">
        <v>0</v>
      </c>
    </row>
    <row r="102" spans="2:52">
      <c r="B102" t="str">
        <f t="shared" si="5"/>
        <v>May</v>
      </c>
      <c r="C102" s="43">
        <f t="shared" si="6"/>
        <v>46159</v>
      </c>
      <c r="D102" s="44">
        <f t="shared" si="7"/>
        <v>46152</v>
      </c>
      <c r="E102" s="9" t="s">
        <v>207</v>
      </c>
      <c r="F102">
        <f t="shared" si="8"/>
        <v>0</v>
      </c>
      <c r="G102">
        <f t="shared" si="9"/>
        <v>-103</v>
      </c>
      <c r="AJ102" s="40">
        <v>46152</v>
      </c>
      <c r="AK102" s="9" t="s">
        <v>203</v>
      </c>
      <c r="AL102" s="9" t="s">
        <v>207</v>
      </c>
      <c r="AM102" s="9"/>
      <c r="AN102" s="9">
        <v>0</v>
      </c>
      <c r="AO102" s="9">
        <v>45</v>
      </c>
      <c r="AP102" s="9">
        <v>49</v>
      </c>
      <c r="AQ102" s="9">
        <v>49</v>
      </c>
      <c r="AR102" s="9">
        <v>51</v>
      </c>
      <c r="AS102" s="9">
        <v>53</v>
      </c>
      <c r="AT102" s="9">
        <v>58</v>
      </c>
      <c r="AU102" s="9">
        <v>55</v>
      </c>
      <c r="AV102" s="9">
        <v>51</v>
      </c>
      <c r="AW102" s="9">
        <v>60</v>
      </c>
      <c r="AX102" s="9">
        <v>99</v>
      </c>
      <c r="AY102" s="9">
        <v>99</v>
      </c>
      <c r="AZ102" s="9">
        <v>98</v>
      </c>
    </row>
    <row r="103" spans="2:52">
      <c r="B103" t="str">
        <f t="shared" si="5"/>
        <v>May</v>
      </c>
      <c r="C103" s="43">
        <f t="shared" si="6"/>
        <v>46159</v>
      </c>
      <c r="D103" s="44">
        <f t="shared" si="7"/>
        <v>46152</v>
      </c>
      <c r="E103" s="9" t="s">
        <v>42</v>
      </c>
      <c r="F103">
        <f t="shared" si="8"/>
        <v>0</v>
      </c>
      <c r="G103">
        <f t="shared" si="9"/>
        <v>-160</v>
      </c>
      <c r="AJ103" s="40">
        <v>46152</v>
      </c>
      <c r="AK103" s="9" t="s">
        <v>42</v>
      </c>
      <c r="AL103" s="9" t="s">
        <v>42</v>
      </c>
      <c r="AM103" s="9"/>
      <c r="AN103" s="9">
        <v>44</v>
      </c>
      <c r="AO103" s="9">
        <v>0</v>
      </c>
      <c r="AP103" s="9">
        <v>48</v>
      </c>
      <c r="AQ103" s="9">
        <v>44</v>
      </c>
      <c r="AR103" s="9">
        <v>49</v>
      </c>
      <c r="AS103" s="9">
        <v>46</v>
      </c>
      <c r="AT103" s="9">
        <v>102</v>
      </c>
      <c r="AU103" s="9">
        <v>0</v>
      </c>
      <c r="AV103" s="9">
        <v>7</v>
      </c>
      <c r="AW103" s="9">
        <v>6</v>
      </c>
      <c r="AX103" s="9">
        <v>12</v>
      </c>
      <c r="AY103" s="9">
        <v>19</v>
      </c>
      <c r="AZ103" s="9">
        <v>2</v>
      </c>
    </row>
    <row r="104" spans="2:52">
      <c r="B104" t="str">
        <f t="shared" si="5"/>
        <v>May</v>
      </c>
      <c r="C104" s="43">
        <f t="shared" si="6"/>
        <v>46159</v>
      </c>
      <c r="D104" s="44">
        <f t="shared" si="7"/>
        <v>46153</v>
      </c>
      <c r="E104" s="9" t="s">
        <v>31</v>
      </c>
      <c r="F104">
        <f t="shared" si="8"/>
        <v>0</v>
      </c>
      <c r="G104">
        <f t="shared" si="9"/>
        <v>18</v>
      </c>
      <c r="AJ104" s="40">
        <v>46153</v>
      </c>
      <c r="AK104" s="9" t="s">
        <v>204</v>
      </c>
      <c r="AL104" s="9" t="s">
        <v>31</v>
      </c>
      <c r="AM104" s="9"/>
      <c r="AN104" s="9">
        <v>86</v>
      </c>
      <c r="AO104" s="9">
        <v>89</v>
      </c>
      <c r="AP104" s="9">
        <v>103</v>
      </c>
      <c r="AQ104" s="9">
        <v>99</v>
      </c>
      <c r="AR104" s="9">
        <v>0</v>
      </c>
      <c r="AS104" s="9">
        <v>28</v>
      </c>
      <c r="AT104" s="9">
        <v>28</v>
      </c>
      <c r="AU104" s="9">
        <v>36</v>
      </c>
      <c r="AV104" s="9">
        <v>32</v>
      </c>
      <c r="AW104" s="9">
        <v>50</v>
      </c>
      <c r="AX104" s="9">
        <v>32</v>
      </c>
      <c r="AY104" s="9">
        <v>19</v>
      </c>
      <c r="AZ104" s="9">
        <v>37</v>
      </c>
    </row>
    <row r="105" spans="2:52">
      <c r="B105" t="str">
        <f t="shared" si="5"/>
        <v>May</v>
      </c>
      <c r="C105" s="43">
        <f t="shared" si="6"/>
        <v>46159</v>
      </c>
      <c r="D105" s="44">
        <f t="shared" si="7"/>
        <v>46153</v>
      </c>
      <c r="E105" s="9" t="s">
        <v>39</v>
      </c>
      <c r="F105">
        <f t="shared" si="8"/>
        <v>0</v>
      </c>
      <c r="G105">
        <f t="shared" si="9"/>
        <v>130</v>
      </c>
      <c r="AJ105" s="40">
        <v>46153</v>
      </c>
      <c r="AK105" s="9" t="s">
        <v>205</v>
      </c>
      <c r="AL105" s="9" t="s">
        <v>39</v>
      </c>
      <c r="AM105" s="9"/>
      <c r="AN105" s="9">
        <v>111</v>
      </c>
      <c r="AO105" s="9">
        <v>106</v>
      </c>
      <c r="AP105" s="9">
        <v>97</v>
      </c>
      <c r="AQ105" s="9">
        <v>107</v>
      </c>
      <c r="AR105" s="9">
        <v>92</v>
      </c>
      <c r="AS105" s="9">
        <v>102</v>
      </c>
      <c r="AT105" s="9">
        <v>90</v>
      </c>
      <c r="AU105" s="9">
        <v>102</v>
      </c>
      <c r="AV105" s="9">
        <v>122</v>
      </c>
      <c r="AW105" s="9">
        <v>146</v>
      </c>
      <c r="AX105" s="9">
        <v>132</v>
      </c>
      <c r="AY105" s="9">
        <v>143</v>
      </c>
      <c r="AZ105" s="9">
        <v>130</v>
      </c>
    </row>
    <row r="106" spans="2:52">
      <c r="B106" t="str">
        <f t="shared" si="5"/>
        <v>May</v>
      </c>
      <c r="C106" s="43">
        <f t="shared" si="6"/>
        <v>46159</v>
      </c>
      <c r="D106" s="44">
        <f t="shared" si="7"/>
        <v>46153</v>
      </c>
      <c r="E106" s="9" t="s">
        <v>40</v>
      </c>
      <c r="F106">
        <f t="shared" si="8"/>
        <v>0</v>
      </c>
      <c r="G106">
        <f t="shared" si="9"/>
        <v>-114</v>
      </c>
      <c r="AJ106" s="40">
        <v>46153</v>
      </c>
      <c r="AK106" s="9" t="s">
        <v>205</v>
      </c>
      <c r="AL106" s="9" t="s">
        <v>40</v>
      </c>
      <c r="AM106" s="9"/>
      <c r="AN106" s="9">
        <v>28</v>
      </c>
      <c r="AO106" s="9">
        <v>39</v>
      </c>
      <c r="AP106" s="9">
        <v>0</v>
      </c>
      <c r="AQ106" s="9">
        <v>0</v>
      </c>
      <c r="AR106" s="9">
        <v>0</v>
      </c>
      <c r="AS106" s="9">
        <v>0</v>
      </c>
      <c r="AT106" s="9">
        <v>23</v>
      </c>
      <c r="AU106" s="9">
        <v>25</v>
      </c>
      <c r="AV106" s="9">
        <v>35</v>
      </c>
      <c r="AW106" s="9">
        <v>0</v>
      </c>
      <c r="AX106" s="9">
        <v>41</v>
      </c>
      <c r="AY106" s="9">
        <v>37</v>
      </c>
      <c r="AZ106" s="9">
        <v>42</v>
      </c>
    </row>
    <row r="107" spans="2:52">
      <c r="B107" t="str">
        <f t="shared" si="5"/>
        <v>May</v>
      </c>
      <c r="C107" s="43">
        <f t="shared" si="6"/>
        <v>46159</v>
      </c>
      <c r="D107" s="44">
        <f t="shared" si="7"/>
        <v>46153</v>
      </c>
      <c r="E107" s="9" t="s">
        <v>41</v>
      </c>
      <c r="F107">
        <f t="shared" si="8"/>
        <v>0</v>
      </c>
      <c r="G107">
        <f t="shared" si="9"/>
        <v>-113</v>
      </c>
      <c r="AJ107" s="40">
        <v>46153</v>
      </c>
      <c r="AK107" s="9" t="s">
        <v>41</v>
      </c>
      <c r="AL107" s="9" t="s">
        <v>41</v>
      </c>
      <c r="AM107" s="9"/>
      <c r="AN107" s="9">
        <v>184</v>
      </c>
      <c r="AO107" s="9">
        <v>146</v>
      </c>
      <c r="AP107" s="9">
        <v>149</v>
      </c>
      <c r="AQ107" s="9">
        <v>149</v>
      </c>
      <c r="AR107" s="9">
        <v>149</v>
      </c>
      <c r="AS107" s="9">
        <v>147</v>
      </c>
      <c r="AT107" s="9">
        <v>0</v>
      </c>
      <c r="AU107" s="9">
        <v>2</v>
      </c>
      <c r="AV107" s="9">
        <v>3</v>
      </c>
      <c r="AW107" s="9">
        <v>4</v>
      </c>
      <c r="AX107" s="9">
        <v>4</v>
      </c>
      <c r="AY107" s="9">
        <v>0</v>
      </c>
      <c r="AZ107" s="9">
        <v>0</v>
      </c>
    </row>
    <row r="108" spans="2:52">
      <c r="B108" t="str">
        <f t="shared" si="5"/>
        <v>May</v>
      </c>
      <c r="C108" s="43">
        <f t="shared" si="6"/>
        <v>46159</v>
      </c>
      <c r="D108" s="44">
        <f t="shared" si="7"/>
        <v>46153</v>
      </c>
      <c r="E108" s="9" t="s">
        <v>45</v>
      </c>
      <c r="F108">
        <f t="shared" si="8"/>
        <v>0</v>
      </c>
      <c r="G108">
        <f t="shared" si="9"/>
        <v>-29</v>
      </c>
      <c r="AJ108" s="40">
        <v>46153</v>
      </c>
      <c r="AK108" s="9" t="s">
        <v>202</v>
      </c>
      <c r="AL108" s="9" t="s">
        <v>45</v>
      </c>
      <c r="AM108" s="9"/>
      <c r="AN108" s="9">
        <v>0</v>
      </c>
      <c r="AO108" s="9">
        <v>0</v>
      </c>
      <c r="AP108" s="9">
        <v>6</v>
      </c>
      <c r="AQ108" s="9">
        <v>29</v>
      </c>
      <c r="AR108" s="9">
        <v>29</v>
      </c>
      <c r="AS108" s="9">
        <v>26</v>
      </c>
      <c r="AT108" s="9">
        <v>31</v>
      </c>
      <c r="AU108" s="9">
        <v>25</v>
      </c>
      <c r="AV108" s="9">
        <v>23</v>
      </c>
      <c r="AW108" s="9">
        <v>0</v>
      </c>
      <c r="AX108" s="9">
        <v>6</v>
      </c>
      <c r="AY108" s="9">
        <v>0</v>
      </c>
      <c r="AZ108" s="9">
        <v>10</v>
      </c>
    </row>
    <row r="109" spans="2:52">
      <c r="B109" t="str">
        <f t="shared" si="5"/>
        <v>May</v>
      </c>
      <c r="C109" s="43">
        <f t="shared" si="6"/>
        <v>46159</v>
      </c>
      <c r="D109" s="44">
        <f t="shared" si="7"/>
        <v>46153</v>
      </c>
      <c r="E109" s="9" t="s">
        <v>46</v>
      </c>
      <c r="F109">
        <f t="shared" si="8"/>
        <v>0</v>
      </c>
      <c r="G109">
        <f t="shared" si="9"/>
        <v>-210</v>
      </c>
      <c r="AJ109" s="40">
        <v>46153</v>
      </c>
      <c r="AK109" s="9" t="s">
        <v>202</v>
      </c>
      <c r="AL109" s="9" t="s">
        <v>46</v>
      </c>
      <c r="AM109" s="9"/>
      <c r="AN109" s="9">
        <v>0</v>
      </c>
      <c r="AO109" s="9">
        <v>0</v>
      </c>
      <c r="AP109" s="9">
        <v>0</v>
      </c>
      <c r="AQ109" s="9">
        <v>0</v>
      </c>
      <c r="AR109" s="9">
        <v>17</v>
      </c>
      <c r="AS109" s="9">
        <v>21</v>
      </c>
      <c r="AT109" s="9">
        <v>0</v>
      </c>
      <c r="AU109" s="9">
        <v>0</v>
      </c>
      <c r="AV109" s="9">
        <v>0</v>
      </c>
      <c r="AW109" s="9">
        <v>5</v>
      </c>
      <c r="AX109" s="9">
        <v>0</v>
      </c>
      <c r="AY109" s="9">
        <v>14</v>
      </c>
      <c r="AZ109" s="9">
        <v>19</v>
      </c>
    </row>
    <row r="110" spans="2:52">
      <c r="B110" t="str">
        <f t="shared" si="5"/>
        <v>May</v>
      </c>
      <c r="C110" s="43">
        <f t="shared" si="6"/>
        <v>46159</v>
      </c>
      <c r="D110" s="44">
        <f t="shared" si="7"/>
        <v>46153</v>
      </c>
      <c r="E110" s="9" t="s">
        <v>47</v>
      </c>
      <c r="F110">
        <f t="shared" si="8"/>
        <v>0</v>
      </c>
      <c r="G110">
        <f t="shared" si="9"/>
        <v>-159</v>
      </c>
      <c r="AJ110" s="40">
        <v>46153</v>
      </c>
      <c r="AK110" s="9" t="s">
        <v>202</v>
      </c>
      <c r="AL110" s="9" t="s">
        <v>47</v>
      </c>
      <c r="AM110" s="9"/>
      <c r="AN110" s="9">
        <v>8</v>
      </c>
      <c r="AO110" s="9">
        <v>61</v>
      </c>
      <c r="AP110" s="9">
        <v>0</v>
      </c>
      <c r="AQ110" s="9">
        <v>5</v>
      </c>
      <c r="AR110" s="9">
        <v>8</v>
      </c>
      <c r="AS110" s="9">
        <v>28</v>
      </c>
      <c r="AT110" s="9">
        <v>25</v>
      </c>
      <c r="AU110" s="9">
        <v>24</v>
      </c>
      <c r="AV110" s="9">
        <v>3</v>
      </c>
      <c r="AW110" s="9">
        <v>8</v>
      </c>
      <c r="AX110" s="9">
        <v>10</v>
      </c>
      <c r="AY110" s="9">
        <v>0</v>
      </c>
      <c r="AZ110" s="9">
        <v>2</v>
      </c>
    </row>
    <row r="111" spans="2:52">
      <c r="B111" t="str">
        <f t="shared" si="5"/>
        <v>May</v>
      </c>
      <c r="C111" s="43">
        <f t="shared" si="6"/>
        <v>46159</v>
      </c>
      <c r="D111" s="44">
        <f t="shared" si="7"/>
        <v>46153</v>
      </c>
      <c r="E111" s="9" t="s">
        <v>206</v>
      </c>
      <c r="F111">
        <f t="shared" si="8"/>
        <v>0</v>
      </c>
      <c r="G111">
        <f t="shared" si="9"/>
        <v>20</v>
      </c>
      <c r="AJ111" s="40">
        <v>46153</v>
      </c>
      <c r="AK111" s="9" t="s">
        <v>43</v>
      </c>
      <c r="AL111" s="9" t="s">
        <v>206</v>
      </c>
      <c r="AM111" s="9"/>
      <c r="AN111" s="9">
        <v>66</v>
      </c>
      <c r="AO111" s="9">
        <v>66</v>
      </c>
      <c r="AP111" s="9">
        <v>63</v>
      </c>
      <c r="AQ111" s="9">
        <v>85</v>
      </c>
      <c r="AR111" s="9">
        <v>92</v>
      </c>
      <c r="AS111" s="9">
        <v>101</v>
      </c>
      <c r="AT111" s="9">
        <v>152</v>
      </c>
      <c r="AU111" s="9">
        <v>148</v>
      </c>
      <c r="AV111" s="9">
        <v>149</v>
      </c>
      <c r="AW111" s="9">
        <v>0</v>
      </c>
      <c r="AX111" s="9">
        <v>13</v>
      </c>
      <c r="AY111" s="9">
        <v>19</v>
      </c>
      <c r="AZ111" s="9">
        <v>20</v>
      </c>
    </row>
    <row r="112" spans="2:52">
      <c r="B112" t="str">
        <f t="shared" si="5"/>
        <v>May</v>
      </c>
      <c r="C112" s="43">
        <f t="shared" si="6"/>
        <v>46159</v>
      </c>
      <c r="D112" s="44">
        <f t="shared" si="7"/>
        <v>46153</v>
      </c>
      <c r="E112" s="9" t="s">
        <v>207</v>
      </c>
      <c r="F112">
        <f t="shared" si="8"/>
        <v>0</v>
      </c>
      <c r="G112">
        <f t="shared" si="9"/>
        <v>-97</v>
      </c>
      <c r="AJ112" s="40">
        <v>46153</v>
      </c>
      <c r="AK112" s="9" t="s">
        <v>203</v>
      </c>
      <c r="AL112" s="9" t="s">
        <v>207</v>
      </c>
      <c r="AM112" s="9"/>
      <c r="AN112" s="9">
        <v>8</v>
      </c>
      <c r="AO112" s="9">
        <v>8</v>
      </c>
      <c r="AP112" s="9">
        <v>15</v>
      </c>
      <c r="AQ112" s="9">
        <v>8</v>
      </c>
      <c r="AR112" s="9">
        <v>1</v>
      </c>
      <c r="AS112" s="9">
        <v>0</v>
      </c>
      <c r="AT112" s="9">
        <v>27</v>
      </c>
      <c r="AU112" s="9">
        <v>19</v>
      </c>
      <c r="AV112" s="9">
        <v>14</v>
      </c>
      <c r="AW112" s="9">
        <v>33</v>
      </c>
      <c r="AX112" s="9">
        <v>41</v>
      </c>
      <c r="AY112" s="9">
        <v>0</v>
      </c>
      <c r="AZ112" s="9">
        <v>1</v>
      </c>
    </row>
    <row r="113" spans="2:52">
      <c r="B113" t="str">
        <f t="shared" si="5"/>
        <v>May</v>
      </c>
      <c r="C113" s="43">
        <f t="shared" si="6"/>
        <v>46159</v>
      </c>
      <c r="D113" s="44">
        <f t="shared" si="7"/>
        <v>46153</v>
      </c>
      <c r="E113" s="9" t="s">
        <v>42</v>
      </c>
      <c r="F113">
        <f t="shared" si="8"/>
        <v>0</v>
      </c>
      <c r="G113">
        <f t="shared" si="9"/>
        <v>-2</v>
      </c>
      <c r="AJ113" s="40">
        <v>46153</v>
      </c>
      <c r="AK113" s="9" t="s">
        <v>42</v>
      </c>
      <c r="AL113" s="9" t="s">
        <v>42</v>
      </c>
      <c r="AM113" s="9"/>
      <c r="AN113" s="9">
        <v>17</v>
      </c>
      <c r="AO113" s="9">
        <v>0</v>
      </c>
      <c r="AP113" s="9">
        <v>0</v>
      </c>
      <c r="AQ113" s="9">
        <v>0</v>
      </c>
      <c r="AR113" s="9">
        <v>4</v>
      </c>
      <c r="AS113" s="9">
        <v>10</v>
      </c>
      <c r="AT113" s="9">
        <v>12</v>
      </c>
      <c r="AU113" s="9">
        <v>14</v>
      </c>
      <c r="AV113" s="9">
        <v>14</v>
      </c>
      <c r="AW113" s="9">
        <v>8</v>
      </c>
      <c r="AX113" s="9">
        <v>3</v>
      </c>
      <c r="AY113" s="9">
        <v>0</v>
      </c>
      <c r="AZ113" s="9">
        <v>0</v>
      </c>
    </row>
    <row r="114" spans="2:52">
      <c r="B114" t="str">
        <f t="shared" si="5"/>
        <v>May</v>
      </c>
      <c r="C114" s="43">
        <f t="shared" si="6"/>
        <v>46159</v>
      </c>
      <c r="D114" s="44">
        <f t="shared" si="7"/>
        <v>46154</v>
      </c>
      <c r="E114" s="9" t="s">
        <v>31</v>
      </c>
      <c r="F114">
        <f t="shared" si="8"/>
        <v>0</v>
      </c>
      <c r="G114">
        <f t="shared" si="9"/>
        <v>-37</v>
      </c>
      <c r="AJ114" s="40">
        <v>46154</v>
      </c>
      <c r="AK114" s="9" t="s">
        <v>204</v>
      </c>
      <c r="AL114" s="9" t="s">
        <v>31</v>
      </c>
      <c r="AM114" s="9"/>
      <c r="AN114" s="9">
        <v>184</v>
      </c>
      <c r="AO114" s="9">
        <v>176</v>
      </c>
      <c r="AP114" s="9">
        <v>0</v>
      </c>
      <c r="AQ114" s="9">
        <v>0</v>
      </c>
      <c r="AR114" s="9">
        <v>37</v>
      </c>
      <c r="AS114" s="9">
        <v>38</v>
      </c>
      <c r="AT114" s="9">
        <v>38</v>
      </c>
      <c r="AU114" s="9">
        <v>34</v>
      </c>
      <c r="AV114" s="9">
        <v>144</v>
      </c>
      <c r="AW114" s="9">
        <v>96</v>
      </c>
      <c r="AX114" s="9">
        <v>107</v>
      </c>
      <c r="AY114" s="9">
        <v>108</v>
      </c>
      <c r="AZ114" s="9">
        <v>0</v>
      </c>
    </row>
    <row r="115" spans="2:52">
      <c r="B115" t="str">
        <f t="shared" si="5"/>
        <v>May</v>
      </c>
      <c r="C115" s="43">
        <f t="shared" si="6"/>
        <v>46159</v>
      </c>
      <c r="D115" s="44">
        <f t="shared" si="7"/>
        <v>46154</v>
      </c>
      <c r="E115" s="9" t="s">
        <v>39</v>
      </c>
      <c r="F115">
        <f t="shared" si="8"/>
        <v>0</v>
      </c>
      <c r="G115">
        <f t="shared" si="9"/>
        <v>-130</v>
      </c>
      <c r="AJ115" s="40">
        <v>46154</v>
      </c>
      <c r="AK115" s="9" t="s">
        <v>205</v>
      </c>
      <c r="AL115" s="9" t="s">
        <v>39</v>
      </c>
      <c r="AM115" s="9"/>
      <c r="AN115" s="9">
        <v>86</v>
      </c>
      <c r="AO115" s="9">
        <v>91</v>
      </c>
      <c r="AP115" s="9">
        <v>0</v>
      </c>
      <c r="AQ115" s="9">
        <v>52</v>
      </c>
      <c r="AR115" s="9">
        <v>43</v>
      </c>
      <c r="AS115" s="9">
        <v>37</v>
      </c>
      <c r="AT115" s="9">
        <v>52</v>
      </c>
      <c r="AU115" s="9">
        <v>49</v>
      </c>
      <c r="AV115" s="9">
        <v>54</v>
      </c>
      <c r="AW115" s="9">
        <v>48</v>
      </c>
      <c r="AX115" s="9">
        <v>59</v>
      </c>
      <c r="AY115" s="9">
        <v>67</v>
      </c>
      <c r="AZ115" s="9">
        <v>0</v>
      </c>
    </row>
    <row r="116" spans="2:52">
      <c r="B116" t="str">
        <f t="shared" si="5"/>
        <v>May</v>
      </c>
      <c r="C116" s="43">
        <f t="shared" si="6"/>
        <v>46159</v>
      </c>
      <c r="D116" s="44">
        <f t="shared" si="7"/>
        <v>46154</v>
      </c>
      <c r="E116" s="9" t="s">
        <v>40</v>
      </c>
      <c r="F116">
        <f t="shared" si="8"/>
        <v>0</v>
      </c>
      <c r="G116">
        <f t="shared" si="9"/>
        <v>-40</v>
      </c>
      <c r="AJ116" s="40">
        <v>46154</v>
      </c>
      <c r="AK116" s="9" t="s">
        <v>205</v>
      </c>
      <c r="AL116" s="9" t="s">
        <v>40</v>
      </c>
      <c r="AM116" s="9"/>
      <c r="AN116" s="9">
        <v>81</v>
      </c>
      <c r="AO116" s="9">
        <v>87</v>
      </c>
      <c r="AP116" s="9">
        <v>81</v>
      </c>
      <c r="AQ116" s="9">
        <v>81</v>
      </c>
      <c r="AR116" s="9">
        <v>90</v>
      </c>
      <c r="AS116" s="9">
        <v>137</v>
      </c>
      <c r="AT116" s="9">
        <v>141</v>
      </c>
      <c r="AU116" s="9">
        <v>136</v>
      </c>
      <c r="AV116" s="9">
        <v>148</v>
      </c>
      <c r="AW116" s="9">
        <v>158</v>
      </c>
      <c r="AX116" s="9">
        <v>0</v>
      </c>
      <c r="AY116" s="9">
        <v>0</v>
      </c>
      <c r="AZ116" s="9">
        <v>2</v>
      </c>
    </row>
    <row r="117" spans="2:52">
      <c r="B117" t="str">
        <f t="shared" si="5"/>
        <v>May</v>
      </c>
      <c r="C117" s="43">
        <f t="shared" si="6"/>
        <v>46159</v>
      </c>
      <c r="D117" s="44">
        <f t="shared" si="7"/>
        <v>46154</v>
      </c>
      <c r="E117" s="9" t="s">
        <v>41</v>
      </c>
      <c r="F117">
        <f t="shared" si="8"/>
        <v>0</v>
      </c>
      <c r="G117">
        <f t="shared" si="9"/>
        <v>2</v>
      </c>
      <c r="AJ117" s="40">
        <v>46154</v>
      </c>
      <c r="AK117" s="9" t="s">
        <v>41</v>
      </c>
      <c r="AL117" s="9" t="s">
        <v>41</v>
      </c>
      <c r="AM117" s="9"/>
      <c r="AN117" s="9">
        <v>0</v>
      </c>
      <c r="AO117" s="9">
        <v>10</v>
      </c>
      <c r="AP117" s="9">
        <v>13</v>
      </c>
      <c r="AQ117" s="9">
        <v>10</v>
      </c>
      <c r="AR117" s="9">
        <v>12</v>
      </c>
      <c r="AS117" s="9">
        <v>8</v>
      </c>
      <c r="AT117" s="9">
        <v>121</v>
      </c>
      <c r="AU117" s="9">
        <v>123</v>
      </c>
      <c r="AV117" s="9">
        <v>124</v>
      </c>
      <c r="AW117" s="9">
        <v>121</v>
      </c>
      <c r="AX117" s="9">
        <v>126</v>
      </c>
      <c r="AY117" s="9">
        <v>0</v>
      </c>
      <c r="AZ117" s="9">
        <v>2</v>
      </c>
    </row>
    <row r="118" spans="2:52">
      <c r="B118" t="str">
        <f t="shared" si="5"/>
        <v>May</v>
      </c>
      <c r="C118" s="43">
        <f t="shared" si="6"/>
        <v>46159</v>
      </c>
      <c r="D118" s="44">
        <f t="shared" si="7"/>
        <v>46154</v>
      </c>
      <c r="E118" s="9" t="s">
        <v>45</v>
      </c>
      <c r="F118">
        <f t="shared" si="8"/>
        <v>0</v>
      </c>
      <c r="G118">
        <f t="shared" si="9"/>
        <v>13</v>
      </c>
      <c r="AJ118" s="40">
        <v>46154</v>
      </c>
      <c r="AK118" s="9" t="s">
        <v>202</v>
      </c>
      <c r="AL118" s="9" t="s">
        <v>45</v>
      </c>
      <c r="AM118" s="9"/>
      <c r="AN118" s="9">
        <v>56</v>
      </c>
      <c r="AO118" s="9">
        <v>27</v>
      </c>
      <c r="AP118" s="9">
        <v>32</v>
      </c>
      <c r="AQ118" s="9">
        <v>32</v>
      </c>
      <c r="AR118" s="9">
        <v>28</v>
      </c>
      <c r="AS118" s="9">
        <v>24</v>
      </c>
      <c r="AT118" s="9">
        <v>30</v>
      </c>
      <c r="AU118" s="9">
        <v>51</v>
      </c>
      <c r="AV118" s="9">
        <v>0</v>
      </c>
      <c r="AW118" s="9">
        <v>1</v>
      </c>
      <c r="AX118" s="9">
        <v>4</v>
      </c>
      <c r="AY118" s="9">
        <v>0</v>
      </c>
      <c r="AZ118" s="9">
        <v>23</v>
      </c>
    </row>
    <row r="119" spans="2:52">
      <c r="B119" t="str">
        <f t="shared" si="5"/>
        <v>May</v>
      </c>
      <c r="C119" s="43">
        <f t="shared" si="6"/>
        <v>46159</v>
      </c>
      <c r="D119" s="44">
        <f t="shared" si="7"/>
        <v>46154</v>
      </c>
      <c r="E119" s="9" t="s">
        <v>46</v>
      </c>
      <c r="F119">
        <f t="shared" si="8"/>
        <v>0</v>
      </c>
      <c r="G119">
        <f t="shared" si="9"/>
        <v>-2</v>
      </c>
      <c r="AJ119" s="40">
        <v>46154</v>
      </c>
      <c r="AK119" s="9" t="s">
        <v>202</v>
      </c>
      <c r="AL119" s="9" t="s">
        <v>46</v>
      </c>
      <c r="AM119" s="9"/>
      <c r="AN119" s="9">
        <v>7</v>
      </c>
      <c r="AO119" s="9">
        <v>11</v>
      </c>
      <c r="AP119" s="9">
        <v>12</v>
      </c>
      <c r="AQ119" s="9">
        <v>10</v>
      </c>
      <c r="AR119" s="9">
        <v>13</v>
      </c>
      <c r="AS119" s="9">
        <v>15</v>
      </c>
      <c r="AT119" s="9">
        <v>18</v>
      </c>
      <c r="AU119" s="9">
        <v>5</v>
      </c>
      <c r="AV119" s="9">
        <v>1</v>
      </c>
      <c r="AW119" s="9">
        <v>0</v>
      </c>
      <c r="AX119" s="9">
        <v>4</v>
      </c>
      <c r="AY119" s="9">
        <v>0</v>
      </c>
      <c r="AZ119" s="9">
        <v>17</v>
      </c>
    </row>
    <row r="120" spans="2:52">
      <c r="B120" t="str">
        <f t="shared" si="5"/>
        <v>May</v>
      </c>
      <c r="C120" s="43">
        <f t="shared" si="6"/>
        <v>46159</v>
      </c>
      <c r="D120" s="44">
        <f t="shared" si="7"/>
        <v>46154</v>
      </c>
      <c r="E120" s="9" t="s">
        <v>47</v>
      </c>
      <c r="F120">
        <f t="shared" si="8"/>
        <v>0</v>
      </c>
      <c r="G120">
        <f t="shared" si="9"/>
        <v>-2</v>
      </c>
      <c r="AJ120" s="40">
        <v>46154</v>
      </c>
      <c r="AK120" s="9" t="s">
        <v>202</v>
      </c>
      <c r="AL120" s="9" t="s">
        <v>47</v>
      </c>
      <c r="AM120" s="9"/>
      <c r="AN120" s="9">
        <v>33</v>
      </c>
      <c r="AO120" s="9">
        <v>33</v>
      </c>
      <c r="AP120" s="9">
        <v>38</v>
      </c>
      <c r="AQ120" s="9">
        <v>16</v>
      </c>
      <c r="AR120" s="9">
        <v>13</v>
      </c>
      <c r="AS120" s="9">
        <v>0</v>
      </c>
      <c r="AT120" s="9">
        <v>4</v>
      </c>
      <c r="AU120" s="9">
        <v>57</v>
      </c>
      <c r="AV120" s="9">
        <v>97</v>
      </c>
      <c r="AW120" s="9">
        <v>93</v>
      </c>
      <c r="AX120" s="9">
        <v>95</v>
      </c>
      <c r="AY120" s="9">
        <v>83</v>
      </c>
      <c r="AZ120" s="9">
        <v>0</v>
      </c>
    </row>
    <row r="121" spans="2:52">
      <c r="B121" t="str">
        <f t="shared" si="5"/>
        <v>May</v>
      </c>
      <c r="C121" s="43">
        <f t="shared" si="6"/>
        <v>46159</v>
      </c>
      <c r="D121" s="44">
        <f t="shared" si="7"/>
        <v>46154</v>
      </c>
      <c r="E121" s="9" t="s">
        <v>206</v>
      </c>
      <c r="F121">
        <f t="shared" si="8"/>
        <v>0</v>
      </c>
      <c r="G121">
        <f t="shared" si="9"/>
        <v>-3</v>
      </c>
      <c r="AJ121" s="40">
        <v>46154</v>
      </c>
      <c r="AK121" s="9" t="s">
        <v>43</v>
      </c>
      <c r="AL121" s="9" t="s">
        <v>206</v>
      </c>
      <c r="AM121" s="9"/>
      <c r="AN121" s="9">
        <v>36</v>
      </c>
      <c r="AO121" s="9">
        <v>46</v>
      </c>
      <c r="AP121" s="9">
        <v>39</v>
      </c>
      <c r="AQ121" s="9">
        <v>34</v>
      </c>
      <c r="AR121" s="9">
        <v>73</v>
      </c>
      <c r="AS121" s="9">
        <v>71</v>
      </c>
      <c r="AT121" s="9">
        <v>69</v>
      </c>
      <c r="AU121" s="9">
        <v>77</v>
      </c>
      <c r="AV121" s="9">
        <v>75</v>
      </c>
      <c r="AW121" s="9">
        <v>73</v>
      </c>
      <c r="AX121" s="9">
        <v>0</v>
      </c>
      <c r="AY121" s="9">
        <v>24</v>
      </c>
      <c r="AZ121" s="9">
        <v>17</v>
      </c>
    </row>
    <row r="122" spans="2:52">
      <c r="B122" t="str">
        <f t="shared" si="5"/>
        <v>May</v>
      </c>
      <c r="C122" s="43">
        <f t="shared" si="6"/>
        <v>46159</v>
      </c>
      <c r="D122" s="44">
        <f t="shared" si="7"/>
        <v>46154</v>
      </c>
      <c r="E122" s="9" t="s">
        <v>207</v>
      </c>
      <c r="F122">
        <f t="shared" si="8"/>
        <v>0</v>
      </c>
      <c r="G122">
        <f t="shared" si="9"/>
        <v>127</v>
      </c>
      <c r="AJ122" s="40">
        <v>46154</v>
      </c>
      <c r="AK122" s="9" t="s">
        <v>203</v>
      </c>
      <c r="AL122" s="9" t="s">
        <v>207</v>
      </c>
      <c r="AM122" s="9"/>
      <c r="AN122" s="9">
        <v>37</v>
      </c>
      <c r="AO122" s="9">
        <v>66</v>
      </c>
      <c r="AP122" s="9">
        <v>60</v>
      </c>
      <c r="AQ122" s="9">
        <v>65</v>
      </c>
      <c r="AR122" s="9">
        <v>66</v>
      </c>
      <c r="AS122" s="9">
        <v>50</v>
      </c>
      <c r="AT122" s="9">
        <v>55</v>
      </c>
      <c r="AU122" s="9">
        <v>95</v>
      </c>
      <c r="AV122" s="9">
        <v>101</v>
      </c>
      <c r="AW122" s="9">
        <v>93</v>
      </c>
      <c r="AX122" s="9">
        <v>101</v>
      </c>
      <c r="AY122" s="9">
        <v>0</v>
      </c>
      <c r="AZ122" s="9">
        <v>128</v>
      </c>
    </row>
    <row r="123" spans="2:52">
      <c r="B123" t="str">
        <f t="shared" si="5"/>
        <v>May</v>
      </c>
      <c r="C123" s="43">
        <f t="shared" si="6"/>
        <v>46159</v>
      </c>
      <c r="D123" s="44">
        <f t="shared" si="7"/>
        <v>46154</v>
      </c>
      <c r="E123" s="9" t="s">
        <v>42</v>
      </c>
      <c r="F123">
        <f t="shared" si="8"/>
        <v>0</v>
      </c>
      <c r="G123">
        <f t="shared" si="9"/>
        <v>62</v>
      </c>
      <c r="AJ123" s="40">
        <v>46154</v>
      </c>
      <c r="AK123" s="9" t="s">
        <v>42</v>
      </c>
      <c r="AL123" s="9" t="s">
        <v>42</v>
      </c>
      <c r="AM123" s="9"/>
      <c r="AN123" s="9">
        <v>43</v>
      </c>
      <c r="AO123" s="9">
        <v>0</v>
      </c>
      <c r="AP123" s="9">
        <v>21</v>
      </c>
      <c r="AQ123" s="9">
        <v>0</v>
      </c>
      <c r="AR123" s="9">
        <v>0</v>
      </c>
      <c r="AS123" s="9">
        <v>11</v>
      </c>
      <c r="AT123" s="9">
        <v>10</v>
      </c>
      <c r="AU123" s="9">
        <v>14</v>
      </c>
      <c r="AV123" s="9">
        <v>21</v>
      </c>
      <c r="AW123" s="9">
        <v>0</v>
      </c>
      <c r="AX123" s="9">
        <v>3</v>
      </c>
      <c r="AY123" s="9">
        <v>5</v>
      </c>
      <c r="AZ123" s="9">
        <v>62</v>
      </c>
    </row>
    <row r="124" spans="2:52">
      <c r="B124" t="str">
        <f t="shared" si="5"/>
        <v>May</v>
      </c>
      <c r="C124" s="43">
        <f t="shared" si="6"/>
        <v>46159</v>
      </c>
      <c r="D124" s="44">
        <f t="shared" si="7"/>
        <v>46155</v>
      </c>
      <c r="E124" s="9" t="s">
        <v>31</v>
      </c>
      <c r="F124">
        <f t="shared" si="8"/>
        <v>0</v>
      </c>
      <c r="G124">
        <f t="shared" si="9"/>
        <v>61</v>
      </c>
      <c r="AJ124" s="40">
        <v>46155</v>
      </c>
      <c r="AK124" s="9" t="s">
        <v>204</v>
      </c>
      <c r="AL124" s="9" t="s">
        <v>31</v>
      </c>
      <c r="AM124" s="9"/>
      <c r="AN124" s="9">
        <v>147</v>
      </c>
      <c r="AO124" s="9">
        <v>128</v>
      </c>
      <c r="AP124" s="9">
        <v>0</v>
      </c>
      <c r="AQ124" s="9">
        <v>53</v>
      </c>
      <c r="AR124" s="9">
        <v>65</v>
      </c>
      <c r="AS124" s="9">
        <v>78</v>
      </c>
      <c r="AT124" s="9">
        <v>82</v>
      </c>
      <c r="AU124" s="9">
        <v>84</v>
      </c>
      <c r="AV124" s="9">
        <v>93</v>
      </c>
      <c r="AW124" s="9">
        <v>82</v>
      </c>
      <c r="AX124" s="9">
        <v>73</v>
      </c>
      <c r="AY124" s="9">
        <v>64</v>
      </c>
      <c r="AZ124" s="9">
        <v>61</v>
      </c>
    </row>
    <row r="125" spans="2:52">
      <c r="B125" t="str">
        <f t="shared" si="5"/>
        <v>May</v>
      </c>
      <c r="C125" s="43">
        <f t="shared" si="6"/>
        <v>46159</v>
      </c>
      <c r="D125" s="44">
        <f t="shared" si="7"/>
        <v>46155</v>
      </c>
      <c r="E125" s="9" t="s">
        <v>39</v>
      </c>
      <c r="F125">
        <f t="shared" si="8"/>
        <v>0</v>
      </c>
      <c r="G125">
        <f t="shared" si="9"/>
        <v>46</v>
      </c>
      <c r="AJ125" s="40">
        <v>46155</v>
      </c>
      <c r="AK125" s="9" t="s">
        <v>205</v>
      </c>
      <c r="AL125" s="9" t="s">
        <v>39</v>
      </c>
      <c r="AM125" s="9"/>
      <c r="AN125" s="9">
        <v>122</v>
      </c>
      <c r="AO125" s="9">
        <v>116</v>
      </c>
      <c r="AP125" s="9">
        <v>0</v>
      </c>
      <c r="AQ125" s="9">
        <v>11</v>
      </c>
      <c r="AR125" s="9">
        <v>0</v>
      </c>
      <c r="AS125" s="9">
        <v>0</v>
      </c>
      <c r="AT125" s="9">
        <v>40</v>
      </c>
      <c r="AU125" s="9">
        <v>25</v>
      </c>
      <c r="AV125" s="9">
        <v>40</v>
      </c>
      <c r="AW125" s="9">
        <v>0</v>
      </c>
      <c r="AX125" s="9">
        <v>22</v>
      </c>
      <c r="AY125" s="9">
        <v>61</v>
      </c>
      <c r="AZ125" s="9">
        <v>46</v>
      </c>
    </row>
    <row r="126" spans="2:52">
      <c r="B126" t="str">
        <f t="shared" si="5"/>
        <v>May</v>
      </c>
      <c r="C126" s="43">
        <f t="shared" si="6"/>
        <v>46159</v>
      </c>
      <c r="D126" s="44">
        <f t="shared" si="7"/>
        <v>46155</v>
      </c>
      <c r="E126" s="9" t="s">
        <v>40</v>
      </c>
      <c r="F126">
        <f t="shared" si="8"/>
        <v>0</v>
      </c>
      <c r="G126">
        <f t="shared" si="9"/>
        <v>15</v>
      </c>
      <c r="AJ126" s="40">
        <v>46155</v>
      </c>
      <c r="AK126" s="9" t="s">
        <v>205</v>
      </c>
      <c r="AL126" s="9" t="s">
        <v>40</v>
      </c>
      <c r="AM126" s="9"/>
      <c r="AN126" s="9">
        <v>20</v>
      </c>
      <c r="AO126" s="9">
        <v>20</v>
      </c>
      <c r="AP126" s="9">
        <v>0</v>
      </c>
      <c r="AQ126" s="9">
        <v>6</v>
      </c>
      <c r="AR126" s="9">
        <v>12</v>
      </c>
      <c r="AS126" s="9">
        <v>5</v>
      </c>
      <c r="AT126" s="9">
        <v>30</v>
      </c>
      <c r="AU126" s="9">
        <v>0</v>
      </c>
      <c r="AV126" s="9">
        <v>2</v>
      </c>
      <c r="AW126" s="9">
        <v>0</v>
      </c>
      <c r="AX126" s="9">
        <v>0</v>
      </c>
      <c r="AY126" s="9">
        <v>17</v>
      </c>
      <c r="AZ126" s="9">
        <v>17</v>
      </c>
    </row>
    <row r="127" spans="2:52">
      <c r="B127" t="str">
        <f t="shared" si="5"/>
        <v>May</v>
      </c>
      <c r="C127" s="43">
        <f t="shared" si="6"/>
        <v>46159</v>
      </c>
      <c r="D127" s="44">
        <f t="shared" si="7"/>
        <v>46155</v>
      </c>
      <c r="E127" s="9" t="s">
        <v>41</v>
      </c>
      <c r="F127">
        <f t="shared" si="8"/>
        <v>0</v>
      </c>
      <c r="G127">
        <f t="shared" si="9"/>
        <v>7</v>
      </c>
      <c r="AJ127" s="40">
        <v>46155</v>
      </c>
      <c r="AK127" s="9" t="s">
        <v>41</v>
      </c>
      <c r="AL127" s="9" t="s">
        <v>41</v>
      </c>
      <c r="AM127" s="9"/>
      <c r="AN127" s="9">
        <v>29</v>
      </c>
      <c r="AO127" s="9">
        <v>33</v>
      </c>
      <c r="AP127" s="9">
        <v>0</v>
      </c>
      <c r="AQ127" s="9">
        <v>16</v>
      </c>
      <c r="AR127" s="9">
        <v>0</v>
      </c>
      <c r="AS127" s="9">
        <v>49</v>
      </c>
      <c r="AT127" s="9">
        <v>46</v>
      </c>
      <c r="AU127" s="9">
        <v>0</v>
      </c>
      <c r="AV127" s="9">
        <v>8</v>
      </c>
      <c r="AW127" s="9">
        <v>4</v>
      </c>
      <c r="AX127" s="9">
        <v>8</v>
      </c>
      <c r="AY127" s="9">
        <v>0</v>
      </c>
      <c r="AZ127" s="9">
        <v>9</v>
      </c>
    </row>
    <row r="128" spans="2:52">
      <c r="B128" t="str">
        <f t="shared" si="5"/>
        <v>May</v>
      </c>
      <c r="C128" s="43">
        <f t="shared" si="6"/>
        <v>46159</v>
      </c>
      <c r="D128" s="44">
        <f t="shared" si="7"/>
        <v>46155</v>
      </c>
      <c r="E128" s="9" t="s">
        <v>45</v>
      </c>
      <c r="F128">
        <f t="shared" si="8"/>
        <v>0</v>
      </c>
      <c r="G128">
        <f t="shared" si="9"/>
        <v>-13</v>
      </c>
      <c r="AJ128" s="40">
        <v>46155</v>
      </c>
      <c r="AK128" s="9" t="s">
        <v>202</v>
      </c>
      <c r="AL128" s="9" t="s">
        <v>45</v>
      </c>
      <c r="AM128" s="9"/>
      <c r="AN128" s="9">
        <v>0</v>
      </c>
      <c r="AO128" s="9">
        <v>0</v>
      </c>
      <c r="AP128" s="9">
        <v>8</v>
      </c>
      <c r="AQ128" s="9">
        <v>0</v>
      </c>
      <c r="AR128" s="9">
        <v>7</v>
      </c>
      <c r="AS128" s="9">
        <v>3</v>
      </c>
      <c r="AT128" s="9">
        <v>8</v>
      </c>
      <c r="AU128" s="9">
        <v>12</v>
      </c>
      <c r="AV128" s="9">
        <v>7</v>
      </c>
      <c r="AW128" s="9">
        <v>10</v>
      </c>
      <c r="AX128" s="9">
        <v>0</v>
      </c>
      <c r="AY128" s="9">
        <v>6</v>
      </c>
      <c r="AZ128" s="9">
        <v>10</v>
      </c>
    </row>
    <row r="129" spans="2:52">
      <c r="B129" t="str">
        <f t="shared" si="5"/>
        <v>May</v>
      </c>
      <c r="C129" s="43">
        <f t="shared" si="6"/>
        <v>46159</v>
      </c>
      <c r="D129" s="44">
        <f t="shared" si="7"/>
        <v>46155</v>
      </c>
      <c r="E129" s="9" t="s">
        <v>46</v>
      </c>
      <c r="F129">
        <f t="shared" si="8"/>
        <v>0</v>
      </c>
      <c r="G129">
        <f t="shared" si="9"/>
        <v>-4</v>
      </c>
      <c r="AJ129" s="40">
        <v>46155</v>
      </c>
      <c r="AK129" s="9" t="s">
        <v>202</v>
      </c>
      <c r="AL129" s="9" t="s">
        <v>46</v>
      </c>
      <c r="AM129" s="9"/>
      <c r="AN129" s="9">
        <v>0</v>
      </c>
      <c r="AO129" s="9">
        <v>4</v>
      </c>
      <c r="AP129" s="9">
        <v>0</v>
      </c>
      <c r="AQ129" s="9">
        <v>0</v>
      </c>
      <c r="AR129" s="9">
        <v>0</v>
      </c>
      <c r="AS129" s="9">
        <v>4</v>
      </c>
      <c r="AT129" s="9">
        <v>0</v>
      </c>
      <c r="AU129" s="9">
        <v>0</v>
      </c>
      <c r="AV129" s="9">
        <v>0</v>
      </c>
      <c r="AW129" s="9">
        <v>0</v>
      </c>
      <c r="AX129" s="9">
        <v>0</v>
      </c>
      <c r="AY129" s="9">
        <v>0</v>
      </c>
      <c r="AZ129" s="9">
        <v>13</v>
      </c>
    </row>
    <row r="130" spans="2:52">
      <c r="B130" t="str">
        <f t="shared" si="5"/>
        <v>May</v>
      </c>
      <c r="C130" s="43">
        <f t="shared" si="6"/>
        <v>46159</v>
      </c>
      <c r="D130" s="44">
        <f t="shared" si="7"/>
        <v>46155</v>
      </c>
      <c r="E130" s="9" t="s">
        <v>47</v>
      </c>
      <c r="F130">
        <f t="shared" si="8"/>
        <v>0</v>
      </c>
      <c r="G130">
        <f t="shared" si="9"/>
        <v>15</v>
      </c>
      <c r="AJ130" s="40">
        <v>46155</v>
      </c>
      <c r="AK130" s="9" t="s">
        <v>202</v>
      </c>
      <c r="AL130" s="9" t="s">
        <v>47</v>
      </c>
      <c r="AM130" s="9"/>
      <c r="AN130" s="9">
        <v>74</v>
      </c>
      <c r="AO130" s="9">
        <v>70</v>
      </c>
      <c r="AP130" s="9">
        <v>73</v>
      </c>
      <c r="AQ130" s="9">
        <v>72</v>
      </c>
      <c r="AR130" s="9">
        <v>0</v>
      </c>
      <c r="AS130" s="9">
        <v>1</v>
      </c>
      <c r="AT130" s="9">
        <v>4</v>
      </c>
      <c r="AU130" s="9">
        <v>0</v>
      </c>
      <c r="AV130" s="9">
        <v>40</v>
      </c>
      <c r="AW130" s="9">
        <v>14</v>
      </c>
      <c r="AX130" s="9">
        <v>13</v>
      </c>
      <c r="AY130" s="9">
        <v>18</v>
      </c>
      <c r="AZ130" s="9">
        <v>15</v>
      </c>
    </row>
    <row r="131" spans="2:52">
      <c r="B131" t="str">
        <f t="shared" si="5"/>
        <v>May</v>
      </c>
      <c r="C131" s="43">
        <f t="shared" si="6"/>
        <v>46159</v>
      </c>
      <c r="D131" s="44">
        <f t="shared" si="7"/>
        <v>46155</v>
      </c>
      <c r="E131" s="9" t="s">
        <v>206</v>
      </c>
      <c r="F131">
        <f t="shared" si="8"/>
        <v>0</v>
      </c>
      <c r="G131">
        <f t="shared" si="9"/>
        <v>-17</v>
      </c>
      <c r="AJ131" s="40">
        <v>46155</v>
      </c>
      <c r="AK131" s="9" t="s">
        <v>43</v>
      </c>
      <c r="AL131" s="9" t="s">
        <v>206</v>
      </c>
      <c r="AM131" s="9"/>
      <c r="AN131" s="9">
        <v>30</v>
      </c>
      <c r="AO131" s="9">
        <v>32</v>
      </c>
      <c r="AP131" s="9">
        <v>64</v>
      </c>
      <c r="AQ131" s="9">
        <v>0</v>
      </c>
      <c r="AR131" s="9">
        <v>1</v>
      </c>
      <c r="AS131" s="9">
        <v>0</v>
      </c>
      <c r="AT131" s="9">
        <v>15</v>
      </c>
      <c r="AU131" s="9">
        <v>58</v>
      </c>
      <c r="AV131" s="9">
        <v>65</v>
      </c>
      <c r="AW131" s="9">
        <v>69</v>
      </c>
      <c r="AX131" s="9">
        <v>63</v>
      </c>
      <c r="AY131" s="9">
        <v>0</v>
      </c>
      <c r="AZ131" s="9">
        <v>0</v>
      </c>
    </row>
    <row r="132" spans="2:52">
      <c r="B132" t="str">
        <f t="shared" si="5"/>
        <v>May</v>
      </c>
      <c r="C132" s="43">
        <f t="shared" si="6"/>
        <v>46159</v>
      </c>
      <c r="D132" s="44">
        <f t="shared" si="7"/>
        <v>46155</v>
      </c>
      <c r="E132" s="9" t="s">
        <v>207</v>
      </c>
      <c r="F132">
        <f t="shared" si="8"/>
        <v>0</v>
      </c>
      <c r="G132">
        <f t="shared" si="9"/>
        <v>-69</v>
      </c>
      <c r="AJ132" s="40">
        <v>46155</v>
      </c>
      <c r="AK132" s="9" t="s">
        <v>203</v>
      </c>
      <c r="AL132" s="9" t="s">
        <v>207</v>
      </c>
      <c r="AM132" s="9"/>
      <c r="AN132" s="9">
        <v>31</v>
      </c>
      <c r="AO132" s="9">
        <v>66</v>
      </c>
      <c r="AP132" s="9">
        <v>62</v>
      </c>
      <c r="AQ132" s="9">
        <v>58</v>
      </c>
      <c r="AR132" s="9">
        <v>58</v>
      </c>
      <c r="AS132" s="9">
        <v>67</v>
      </c>
      <c r="AT132" s="9">
        <v>64</v>
      </c>
      <c r="AU132" s="9">
        <v>64</v>
      </c>
      <c r="AV132" s="9">
        <v>0</v>
      </c>
      <c r="AW132" s="9">
        <v>27</v>
      </c>
      <c r="AX132" s="9">
        <v>20</v>
      </c>
      <c r="AY132" s="9">
        <v>59</v>
      </c>
      <c r="AZ132" s="9">
        <v>59</v>
      </c>
    </row>
    <row r="133" spans="2:52">
      <c r="B133" t="str">
        <f t="shared" ref="B133:B196" si="10">TEXT(C133,"MMM")</f>
        <v>May</v>
      </c>
      <c r="C133" s="43">
        <f t="shared" ref="C133:C196" si="11">AJ133+(8-WEEKDAY(AJ133))</f>
        <v>46159</v>
      </c>
      <c r="D133" s="44">
        <f t="shared" ref="D133:D196" si="12">AJ133</f>
        <v>46155</v>
      </c>
      <c r="E133" s="9" t="s">
        <v>42</v>
      </c>
      <c r="F133">
        <f t="shared" ref="F133:F196" si="13">IF(SUM(V133:AI133)&lt;=0,0,SUM(V133:AI133))</f>
        <v>0</v>
      </c>
      <c r="G133">
        <f t="shared" si="9"/>
        <v>-55</v>
      </c>
      <c r="AJ133" s="40">
        <v>46155</v>
      </c>
      <c r="AK133" s="9" t="s">
        <v>42</v>
      </c>
      <c r="AL133" s="9" t="s">
        <v>42</v>
      </c>
      <c r="AM133" s="9"/>
      <c r="AN133" s="9">
        <v>29</v>
      </c>
      <c r="AO133" s="9">
        <v>0</v>
      </c>
      <c r="AP133" s="9">
        <v>11</v>
      </c>
      <c r="AQ133" s="9">
        <v>0</v>
      </c>
      <c r="AR133" s="9">
        <v>4</v>
      </c>
      <c r="AS133" s="9">
        <v>11</v>
      </c>
      <c r="AT133" s="9">
        <v>15</v>
      </c>
      <c r="AU133" s="9">
        <v>17</v>
      </c>
      <c r="AV133" s="9">
        <v>12</v>
      </c>
      <c r="AW133" s="9">
        <v>10</v>
      </c>
      <c r="AX133" s="9">
        <v>11</v>
      </c>
      <c r="AY133" s="9">
        <v>13</v>
      </c>
      <c r="AZ133" s="9">
        <v>7</v>
      </c>
    </row>
    <row r="134" spans="2:52">
      <c r="B134" t="str">
        <f t="shared" si="10"/>
        <v>May</v>
      </c>
      <c r="C134" s="43">
        <f t="shared" si="11"/>
        <v>46159</v>
      </c>
      <c r="D134" s="44">
        <f t="shared" si="12"/>
        <v>46156</v>
      </c>
      <c r="E134" s="9" t="s">
        <v>31</v>
      </c>
      <c r="F134">
        <f t="shared" si="13"/>
        <v>0</v>
      </c>
      <c r="G134">
        <f t="shared" si="9"/>
        <v>-61</v>
      </c>
      <c r="AJ134" s="40">
        <v>46156</v>
      </c>
      <c r="AK134" s="9" t="s">
        <v>204</v>
      </c>
      <c r="AL134" s="9" t="s">
        <v>31</v>
      </c>
      <c r="AM134" s="9"/>
      <c r="AN134" s="9">
        <v>134</v>
      </c>
      <c r="AO134" s="9">
        <v>128</v>
      </c>
      <c r="AP134" s="9">
        <v>129</v>
      </c>
      <c r="AQ134" s="9">
        <v>117</v>
      </c>
      <c r="AR134" s="9">
        <v>112</v>
      </c>
      <c r="AS134" s="9">
        <v>95</v>
      </c>
      <c r="AT134" s="9">
        <v>0</v>
      </c>
      <c r="AU134" s="9">
        <v>15</v>
      </c>
      <c r="AV134" s="9">
        <v>12</v>
      </c>
      <c r="AW134" s="9">
        <v>17</v>
      </c>
      <c r="AX134" s="9">
        <v>19</v>
      </c>
      <c r="AY134" s="9">
        <v>7</v>
      </c>
      <c r="AZ134" s="9">
        <v>0</v>
      </c>
    </row>
    <row r="135" spans="2:52">
      <c r="B135" t="str">
        <f t="shared" si="10"/>
        <v>May</v>
      </c>
      <c r="C135" s="43">
        <f t="shared" si="11"/>
        <v>46159</v>
      </c>
      <c r="D135" s="44">
        <f t="shared" si="12"/>
        <v>46156</v>
      </c>
      <c r="E135" s="9" t="s">
        <v>39</v>
      </c>
      <c r="F135">
        <f t="shared" si="13"/>
        <v>0</v>
      </c>
      <c r="G135">
        <f t="shared" si="9"/>
        <v>-46</v>
      </c>
      <c r="AJ135" s="40">
        <v>46156</v>
      </c>
      <c r="AK135" s="9" t="s">
        <v>205</v>
      </c>
      <c r="AL135" s="9" t="s">
        <v>39</v>
      </c>
      <c r="AM135" s="9"/>
      <c r="AN135" s="9">
        <v>94</v>
      </c>
      <c r="AO135" s="9">
        <v>82</v>
      </c>
      <c r="AP135" s="9">
        <v>88</v>
      </c>
      <c r="AQ135" s="9">
        <v>92</v>
      </c>
      <c r="AR135" s="9">
        <v>77</v>
      </c>
      <c r="AS135" s="9">
        <v>69</v>
      </c>
      <c r="AT135" s="9">
        <v>100</v>
      </c>
      <c r="AU135" s="9">
        <v>90</v>
      </c>
      <c r="AV135" s="9">
        <v>130</v>
      </c>
      <c r="AW135" s="9">
        <v>130</v>
      </c>
      <c r="AX135" s="9">
        <v>119</v>
      </c>
      <c r="AY135" s="9">
        <v>135</v>
      </c>
      <c r="AZ135" s="9">
        <v>0</v>
      </c>
    </row>
    <row r="136" spans="2:52">
      <c r="B136" t="str">
        <f t="shared" si="10"/>
        <v>May</v>
      </c>
      <c r="C136" s="43">
        <f t="shared" si="11"/>
        <v>46159</v>
      </c>
      <c r="D136" s="44">
        <f t="shared" si="12"/>
        <v>46156</v>
      </c>
      <c r="E136" s="9" t="s">
        <v>40</v>
      </c>
      <c r="F136">
        <f t="shared" si="13"/>
        <v>0</v>
      </c>
      <c r="G136">
        <f t="shared" si="9"/>
        <v>126</v>
      </c>
      <c r="AJ136" s="40">
        <v>46156</v>
      </c>
      <c r="AK136" s="9" t="s">
        <v>205</v>
      </c>
      <c r="AL136" s="9" t="s">
        <v>40</v>
      </c>
      <c r="AM136" s="9"/>
      <c r="AN136" s="9">
        <v>112</v>
      </c>
      <c r="AO136" s="9">
        <v>111</v>
      </c>
      <c r="AP136" s="9">
        <v>0</v>
      </c>
      <c r="AQ136" s="9">
        <v>0</v>
      </c>
      <c r="AR136" s="9">
        <v>0</v>
      </c>
      <c r="AS136" s="9">
        <v>0</v>
      </c>
      <c r="AT136" s="9">
        <v>3</v>
      </c>
      <c r="AU136" s="9">
        <v>45</v>
      </c>
      <c r="AV136" s="9">
        <v>56</v>
      </c>
      <c r="AW136" s="9">
        <v>66</v>
      </c>
      <c r="AX136" s="9">
        <v>94</v>
      </c>
      <c r="AY136" s="9">
        <v>145</v>
      </c>
      <c r="AZ136" s="9">
        <v>143</v>
      </c>
    </row>
    <row r="137" spans="2:52">
      <c r="B137" t="str">
        <f t="shared" si="10"/>
        <v>May</v>
      </c>
      <c r="C137" s="43">
        <f t="shared" si="11"/>
        <v>46159</v>
      </c>
      <c r="D137" s="44">
        <f t="shared" si="12"/>
        <v>46156</v>
      </c>
      <c r="E137" s="9" t="s">
        <v>41</v>
      </c>
      <c r="F137">
        <f t="shared" si="13"/>
        <v>0</v>
      </c>
      <c r="G137">
        <f t="shared" si="9"/>
        <v>11</v>
      </c>
      <c r="AJ137" s="40">
        <v>46156</v>
      </c>
      <c r="AK137" s="9" t="s">
        <v>41</v>
      </c>
      <c r="AL137" s="9" t="s">
        <v>41</v>
      </c>
      <c r="AM137" s="9"/>
      <c r="AN137" s="9">
        <v>16</v>
      </c>
      <c r="AO137" s="9">
        <v>0</v>
      </c>
      <c r="AP137" s="9">
        <v>13</v>
      </c>
      <c r="AQ137" s="9">
        <v>17</v>
      </c>
      <c r="AR137" s="9">
        <v>0</v>
      </c>
      <c r="AS137" s="9">
        <v>0</v>
      </c>
      <c r="AT137" s="9">
        <v>8</v>
      </c>
      <c r="AU137" s="9">
        <v>13</v>
      </c>
      <c r="AV137" s="9">
        <v>13</v>
      </c>
      <c r="AW137" s="9">
        <v>0</v>
      </c>
      <c r="AX137" s="9">
        <v>16</v>
      </c>
      <c r="AY137" s="9">
        <v>16</v>
      </c>
      <c r="AZ137" s="9">
        <v>20</v>
      </c>
    </row>
    <row r="138" spans="2:52">
      <c r="B138" t="str">
        <f t="shared" si="10"/>
        <v>May</v>
      </c>
      <c r="C138" s="43">
        <f t="shared" si="11"/>
        <v>46159</v>
      </c>
      <c r="D138" s="44">
        <f t="shared" si="12"/>
        <v>46156</v>
      </c>
      <c r="E138" s="9" t="s">
        <v>45</v>
      </c>
      <c r="F138">
        <f t="shared" si="13"/>
        <v>0</v>
      </c>
      <c r="G138">
        <f t="shared" si="9"/>
        <v>-5</v>
      </c>
      <c r="AJ138" s="40">
        <v>46156</v>
      </c>
      <c r="AK138" s="9" t="s">
        <v>202</v>
      </c>
      <c r="AL138" s="9" t="s">
        <v>45</v>
      </c>
      <c r="AM138" s="9"/>
      <c r="AN138" s="9">
        <v>33</v>
      </c>
      <c r="AO138" s="9">
        <v>0</v>
      </c>
      <c r="AP138" s="9">
        <v>0</v>
      </c>
      <c r="AQ138" s="9">
        <v>6</v>
      </c>
      <c r="AR138" s="9">
        <v>7</v>
      </c>
      <c r="AS138" s="9">
        <v>0</v>
      </c>
      <c r="AT138" s="9">
        <v>6</v>
      </c>
      <c r="AU138" s="9">
        <v>0</v>
      </c>
      <c r="AV138" s="9">
        <v>0</v>
      </c>
      <c r="AW138" s="9">
        <v>7</v>
      </c>
      <c r="AX138" s="9">
        <v>10</v>
      </c>
      <c r="AY138" s="9">
        <v>0</v>
      </c>
      <c r="AZ138" s="9">
        <v>5</v>
      </c>
    </row>
    <row r="139" spans="2:52">
      <c r="B139" t="str">
        <f t="shared" si="10"/>
        <v>May</v>
      </c>
      <c r="C139" s="43">
        <f t="shared" si="11"/>
        <v>46159</v>
      </c>
      <c r="D139" s="44">
        <f t="shared" si="12"/>
        <v>46156</v>
      </c>
      <c r="E139" s="9" t="s">
        <v>46</v>
      </c>
      <c r="F139">
        <f t="shared" si="13"/>
        <v>0</v>
      </c>
      <c r="G139">
        <f t="shared" si="9"/>
        <v>-3</v>
      </c>
      <c r="AJ139" s="40">
        <v>46156</v>
      </c>
      <c r="AK139" s="9" t="s">
        <v>202</v>
      </c>
      <c r="AL139" s="9" t="s">
        <v>46</v>
      </c>
      <c r="AM139" s="9"/>
      <c r="AN139" s="9">
        <v>5</v>
      </c>
      <c r="AO139" s="9">
        <v>2</v>
      </c>
      <c r="AP139" s="9">
        <v>5</v>
      </c>
      <c r="AQ139" s="9">
        <v>6</v>
      </c>
      <c r="AR139" s="9">
        <v>3</v>
      </c>
      <c r="AS139" s="9">
        <v>7</v>
      </c>
      <c r="AT139" s="9">
        <v>4</v>
      </c>
      <c r="AU139" s="9">
        <v>2</v>
      </c>
      <c r="AV139" s="9">
        <v>0</v>
      </c>
      <c r="AW139" s="9">
        <v>10</v>
      </c>
      <c r="AX139" s="9">
        <v>14</v>
      </c>
      <c r="AY139" s="9">
        <v>13</v>
      </c>
      <c r="AZ139" s="9">
        <v>10</v>
      </c>
    </row>
    <row r="140" spans="2:52">
      <c r="B140" t="str">
        <f t="shared" si="10"/>
        <v>May</v>
      </c>
      <c r="C140" s="43">
        <f t="shared" si="11"/>
        <v>46159</v>
      </c>
      <c r="D140" s="44">
        <f t="shared" si="12"/>
        <v>46156</v>
      </c>
      <c r="E140" s="9" t="s">
        <v>47</v>
      </c>
      <c r="F140">
        <f t="shared" si="13"/>
        <v>0</v>
      </c>
      <c r="G140">
        <f t="shared" si="9"/>
        <v>31</v>
      </c>
      <c r="AJ140" s="40">
        <v>46156</v>
      </c>
      <c r="AK140" s="9" t="s">
        <v>202</v>
      </c>
      <c r="AL140" s="9" t="s">
        <v>47</v>
      </c>
      <c r="AM140" s="9"/>
      <c r="AN140" s="9">
        <v>36</v>
      </c>
      <c r="AO140" s="9">
        <v>94</v>
      </c>
      <c r="AP140" s="9">
        <v>51</v>
      </c>
      <c r="AQ140" s="9">
        <v>48</v>
      </c>
      <c r="AR140" s="9">
        <v>47</v>
      </c>
      <c r="AS140" s="9">
        <v>45</v>
      </c>
      <c r="AT140" s="9">
        <v>41</v>
      </c>
      <c r="AU140" s="9">
        <v>44</v>
      </c>
      <c r="AV140" s="9">
        <v>42</v>
      </c>
      <c r="AW140" s="9">
        <v>44</v>
      </c>
      <c r="AX140" s="9">
        <v>42</v>
      </c>
      <c r="AY140" s="9">
        <v>42</v>
      </c>
      <c r="AZ140" s="9">
        <v>46</v>
      </c>
    </row>
    <row r="141" spans="2:52">
      <c r="B141" t="str">
        <f t="shared" si="10"/>
        <v>May</v>
      </c>
      <c r="C141" s="43">
        <f t="shared" si="11"/>
        <v>46159</v>
      </c>
      <c r="D141" s="44">
        <f t="shared" si="12"/>
        <v>46156</v>
      </c>
      <c r="E141" s="9" t="s">
        <v>206</v>
      </c>
      <c r="F141">
        <f t="shared" si="13"/>
        <v>0</v>
      </c>
      <c r="G141">
        <f t="shared" si="9"/>
        <v>9</v>
      </c>
      <c r="AJ141" s="40">
        <v>46156</v>
      </c>
      <c r="AK141" s="9" t="s">
        <v>43</v>
      </c>
      <c r="AL141" s="9" t="s">
        <v>206</v>
      </c>
      <c r="AM141" s="9"/>
      <c r="AN141" s="9">
        <v>71</v>
      </c>
      <c r="AO141" s="9">
        <v>64</v>
      </c>
      <c r="AP141" s="9">
        <v>0</v>
      </c>
      <c r="AQ141" s="9">
        <v>0</v>
      </c>
      <c r="AR141" s="9">
        <v>24</v>
      </c>
      <c r="AS141" s="9">
        <v>32</v>
      </c>
      <c r="AT141" s="9">
        <v>0</v>
      </c>
      <c r="AU141" s="9">
        <v>6</v>
      </c>
      <c r="AV141" s="9">
        <v>0</v>
      </c>
      <c r="AW141" s="9">
        <v>9</v>
      </c>
      <c r="AX141" s="9">
        <v>13</v>
      </c>
      <c r="AY141" s="9">
        <v>16</v>
      </c>
      <c r="AZ141" s="9">
        <v>9</v>
      </c>
    </row>
    <row r="142" spans="2:52">
      <c r="B142" t="str">
        <f t="shared" si="10"/>
        <v>May</v>
      </c>
      <c r="C142" s="43">
        <f t="shared" si="11"/>
        <v>46159</v>
      </c>
      <c r="D142" s="44">
        <f t="shared" si="12"/>
        <v>46156</v>
      </c>
      <c r="E142" s="9" t="s">
        <v>207</v>
      </c>
      <c r="F142">
        <f t="shared" si="13"/>
        <v>0</v>
      </c>
      <c r="G142">
        <f t="shared" si="9"/>
        <v>-59</v>
      </c>
      <c r="AJ142" s="40">
        <v>46156</v>
      </c>
      <c r="AK142" s="9" t="s">
        <v>203</v>
      </c>
      <c r="AL142" s="9" t="s">
        <v>207</v>
      </c>
      <c r="AM142" s="9"/>
      <c r="AN142" s="9">
        <v>54</v>
      </c>
      <c r="AO142" s="9">
        <v>53</v>
      </c>
      <c r="AP142" s="9">
        <v>20</v>
      </c>
      <c r="AQ142" s="9">
        <v>17</v>
      </c>
      <c r="AR142" s="9">
        <v>0</v>
      </c>
      <c r="AS142" s="9">
        <v>9</v>
      </c>
      <c r="AT142" s="9">
        <v>13</v>
      </c>
      <c r="AU142" s="9">
        <v>18</v>
      </c>
      <c r="AV142" s="9">
        <v>22</v>
      </c>
      <c r="AW142" s="9">
        <v>64</v>
      </c>
      <c r="AX142" s="9">
        <v>70</v>
      </c>
      <c r="AY142" s="9">
        <v>0</v>
      </c>
      <c r="AZ142" s="9">
        <v>0</v>
      </c>
    </row>
    <row r="143" spans="2:52">
      <c r="B143" t="str">
        <f t="shared" si="10"/>
        <v>May</v>
      </c>
      <c r="C143" s="43">
        <f t="shared" si="11"/>
        <v>46159</v>
      </c>
      <c r="D143" s="44">
        <f t="shared" si="12"/>
        <v>46156</v>
      </c>
      <c r="E143" s="9" t="s">
        <v>42</v>
      </c>
      <c r="F143">
        <f t="shared" si="13"/>
        <v>0</v>
      </c>
      <c r="G143">
        <f t="shared" ref="G143:G206" si="14">SUM(H143:U143)+AZ143-AZ133</f>
        <v>4</v>
      </c>
      <c r="AJ143" s="40">
        <v>46156</v>
      </c>
      <c r="AK143" s="9" t="s">
        <v>42</v>
      </c>
      <c r="AL143" s="9" t="s">
        <v>42</v>
      </c>
      <c r="AM143" s="9"/>
      <c r="AN143" s="9">
        <v>32</v>
      </c>
      <c r="AO143" s="9">
        <v>0</v>
      </c>
      <c r="AP143" s="9">
        <v>6</v>
      </c>
      <c r="AQ143" s="9">
        <v>4</v>
      </c>
      <c r="AR143" s="9">
        <v>0</v>
      </c>
      <c r="AS143" s="9">
        <v>0</v>
      </c>
      <c r="AT143" s="9">
        <v>0</v>
      </c>
      <c r="AU143" s="9">
        <v>4</v>
      </c>
      <c r="AV143" s="9">
        <v>2</v>
      </c>
      <c r="AW143" s="9">
        <v>7</v>
      </c>
      <c r="AX143" s="9">
        <v>5</v>
      </c>
      <c r="AY143" s="9">
        <v>11</v>
      </c>
      <c r="AZ143" s="9">
        <v>11</v>
      </c>
    </row>
    <row r="144" spans="2:52">
      <c r="B144" t="str">
        <f t="shared" si="10"/>
        <v>May</v>
      </c>
      <c r="C144" s="43">
        <f t="shared" si="11"/>
        <v>46159</v>
      </c>
      <c r="D144" s="44">
        <f t="shared" si="12"/>
        <v>46157</v>
      </c>
      <c r="E144" s="9" t="s">
        <v>31</v>
      </c>
      <c r="F144">
        <f t="shared" si="13"/>
        <v>0</v>
      </c>
      <c r="G144">
        <f t="shared" si="14"/>
        <v>24</v>
      </c>
      <c r="AJ144" s="40">
        <v>46157</v>
      </c>
      <c r="AK144" s="9" t="s">
        <v>204</v>
      </c>
      <c r="AL144" s="9" t="s">
        <v>31</v>
      </c>
      <c r="AM144" s="9"/>
      <c r="AN144" s="9">
        <v>95</v>
      </c>
      <c r="AO144" s="9">
        <v>201</v>
      </c>
      <c r="AP144" s="9">
        <v>0</v>
      </c>
      <c r="AQ144" s="9">
        <v>27</v>
      </c>
      <c r="AR144" s="9">
        <v>30</v>
      </c>
      <c r="AS144" s="9">
        <v>92</v>
      </c>
      <c r="AT144" s="9">
        <v>78</v>
      </c>
      <c r="AU144" s="9">
        <v>99</v>
      </c>
      <c r="AV144" s="9">
        <v>0</v>
      </c>
      <c r="AW144" s="9">
        <v>2</v>
      </c>
      <c r="AX144" s="9">
        <v>11</v>
      </c>
      <c r="AY144" s="9">
        <v>18</v>
      </c>
      <c r="AZ144" s="9">
        <v>24</v>
      </c>
    </row>
    <row r="145" spans="2:52">
      <c r="B145" t="str">
        <f t="shared" si="10"/>
        <v>May</v>
      </c>
      <c r="C145" s="43">
        <f t="shared" si="11"/>
        <v>46159</v>
      </c>
      <c r="D145" s="44">
        <f t="shared" si="12"/>
        <v>46157</v>
      </c>
      <c r="E145" s="9" t="s">
        <v>39</v>
      </c>
      <c r="F145">
        <f t="shared" si="13"/>
        <v>0</v>
      </c>
      <c r="G145">
        <f t="shared" si="14"/>
        <v>125</v>
      </c>
      <c r="AJ145" s="40">
        <v>46157</v>
      </c>
      <c r="AK145" s="9" t="s">
        <v>205</v>
      </c>
      <c r="AL145" s="9" t="s">
        <v>39</v>
      </c>
      <c r="AM145" s="9"/>
      <c r="AN145" s="9">
        <v>82</v>
      </c>
      <c r="AO145" s="9">
        <v>82</v>
      </c>
      <c r="AP145" s="9">
        <v>94</v>
      </c>
      <c r="AQ145" s="9">
        <v>111</v>
      </c>
      <c r="AR145" s="9">
        <v>103</v>
      </c>
      <c r="AS145" s="9">
        <v>108</v>
      </c>
      <c r="AT145" s="9">
        <v>125</v>
      </c>
      <c r="AU145" s="9">
        <v>114</v>
      </c>
      <c r="AV145" s="9">
        <v>116</v>
      </c>
      <c r="AW145" s="9">
        <v>124</v>
      </c>
      <c r="AX145" s="9">
        <v>122</v>
      </c>
      <c r="AY145" s="9">
        <v>127</v>
      </c>
      <c r="AZ145" s="9">
        <v>125</v>
      </c>
    </row>
    <row r="146" spans="2:52">
      <c r="B146" t="str">
        <f t="shared" si="10"/>
        <v>May</v>
      </c>
      <c r="C146" s="43">
        <f t="shared" si="11"/>
        <v>46159</v>
      </c>
      <c r="D146" s="44">
        <f t="shared" si="12"/>
        <v>46157</v>
      </c>
      <c r="E146" s="9" t="s">
        <v>40</v>
      </c>
      <c r="F146">
        <f t="shared" si="13"/>
        <v>0</v>
      </c>
      <c r="G146">
        <f t="shared" si="14"/>
        <v>-143</v>
      </c>
      <c r="AJ146" s="40">
        <v>46157</v>
      </c>
      <c r="AK146" s="9" t="s">
        <v>205</v>
      </c>
      <c r="AL146" s="9" t="s">
        <v>40</v>
      </c>
      <c r="AM146" s="9"/>
      <c r="AN146" s="9">
        <v>54</v>
      </c>
      <c r="AO146" s="9">
        <v>44</v>
      </c>
      <c r="AP146" s="9">
        <v>90</v>
      </c>
      <c r="AQ146" s="9">
        <v>91</v>
      </c>
      <c r="AR146" s="9">
        <v>86</v>
      </c>
      <c r="AS146" s="9">
        <v>84</v>
      </c>
      <c r="AT146" s="9">
        <v>76</v>
      </c>
      <c r="AU146" s="9">
        <v>70</v>
      </c>
      <c r="AV146" s="9">
        <v>78</v>
      </c>
      <c r="AW146" s="9">
        <v>111</v>
      </c>
      <c r="AX146" s="9">
        <v>79</v>
      </c>
      <c r="AY146" s="9">
        <v>75</v>
      </c>
      <c r="AZ146" s="9">
        <v>0</v>
      </c>
    </row>
    <row r="147" spans="2:52">
      <c r="B147" t="str">
        <f t="shared" si="10"/>
        <v>May</v>
      </c>
      <c r="C147" s="43">
        <f t="shared" si="11"/>
        <v>46159</v>
      </c>
      <c r="D147" s="44">
        <f t="shared" si="12"/>
        <v>46157</v>
      </c>
      <c r="E147" s="9" t="s">
        <v>41</v>
      </c>
      <c r="F147">
        <f t="shared" si="13"/>
        <v>0</v>
      </c>
      <c r="G147">
        <f t="shared" si="14"/>
        <v>-5</v>
      </c>
      <c r="AJ147" s="40">
        <v>46157</v>
      </c>
      <c r="AK147" s="9" t="s">
        <v>41</v>
      </c>
      <c r="AL147" s="9" t="s">
        <v>41</v>
      </c>
      <c r="AM147" s="9"/>
      <c r="AN147" s="9">
        <v>8</v>
      </c>
      <c r="AO147" s="9">
        <v>10</v>
      </c>
      <c r="AP147" s="9">
        <v>8</v>
      </c>
      <c r="AQ147" s="9">
        <v>11</v>
      </c>
      <c r="AR147" s="9">
        <v>7</v>
      </c>
      <c r="AS147" s="9">
        <v>6</v>
      </c>
      <c r="AT147" s="9">
        <v>7</v>
      </c>
      <c r="AU147" s="9">
        <v>5</v>
      </c>
      <c r="AV147" s="9">
        <v>6</v>
      </c>
      <c r="AW147" s="9">
        <v>6</v>
      </c>
      <c r="AX147" s="9">
        <v>9</v>
      </c>
      <c r="AY147" s="9">
        <v>14</v>
      </c>
      <c r="AZ147" s="9">
        <v>15</v>
      </c>
    </row>
    <row r="148" spans="2:52">
      <c r="B148" t="str">
        <f t="shared" si="10"/>
        <v>May</v>
      </c>
      <c r="C148" s="43">
        <f t="shared" si="11"/>
        <v>46159</v>
      </c>
      <c r="D148" s="44">
        <f t="shared" si="12"/>
        <v>46157</v>
      </c>
      <c r="E148" s="9" t="s">
        <v>45</v>
      </c>
      <c r="F148">
        <f t="shared" si="13"/>
        <v>0</v>
      </c>
      <c r="G148">
        <f t="shared" si="14"/>
        <v>-5</v>
      </c>
      <c r="AJ148" s="40">
        <v>46157</v>
      </c>
      <c r="AK148" s="9" t="s">
        <v>202</v>
      </c>
      <c r="AL148" s="9" t="s">
        <v>45</v>
      </c>
      <c r="AM148" s="9"/>
      <c r="AN148" s="9">
        <v>37</v>
      </c>
      <c r="AO148" s="9">
        <v>33</v>
      </c>
      <c r="AP148" s="9">
        <v>0</v>
      </c>
      <c r="AQ148" s="9">
        <v>1</v>
      </c>
      <c r="AR148" s="9">
        <v>1</v>
      </c>
      <c r="AS148" s="9">
        <v>7</v>
      </c>
      <c r="AT148" s="9">
        <v>5</v>
      </c>
      <c r="AU148" s="9">
        <v>7</v>
      </c>
      <c r="AV148" s="9">
        <v>5</v>
      </c>
      <c r="AW148" s="9">
        <v>11</v>
      </c>
      <c r="AX148" s="9">
        <v>0</v>
      </c>
      <c r="AY148" s="9">
        <v>3</v>
      </c>
      <c r="AZ148" s="9">
        <v>0</v>
      </c>
    </row>
    <row r="149" spans="2:52">
      <c r="B149" t="str">
        <f t="shared" si="10"/>
        <v>May</v>
      </c>
      <c r="C149" s="43">
        <f t="shared" si="11"/>
        <v>46159</v>
      </c>
      <c r="D149" s="44">
        <f t="shared" si="12"/>
        <v>46157</v>
      </c>
      <c r="E149" s="9" t="s">
        <v>46</v>
      </c>
      <c r="F149">
        <f t="shared" si="13"/>
        <v>0</v>
      </c>
      <c r="G149">
        <f t="shared" si="14"/>
        <v>1</v>
      </c>
      <c r="AJ149" s="40">
        <v>46157</v>
      </c>
      <c r="AK149" s="9" t="s">
        <v>202</v>
      </c>
      <c r="AL149" s="9" t="s">
        <v>46</v>
      </c>
      <c r="AM149" s="9"/>
      <c r="AN149" s="9">
        <v>35</v>
      </c>
      <c r="AO149" s="9">
        <v>32</v>
      </c>
      <c r="AP149" s="9">
        <v>31</v>
      </c>
      <c r="AQ149" s="9">
        <v>0</v>
      </c>
      <c r="AR149" s="9">
        <v>10</v>
      </c>
      <c r="AS149" s="9">
        <v>0</v>
      </c>
      <c r="AT149" s="9">
        <v>5</v>
      </c>
      <c r="AU149" s="9">
        <v>4</v>
      </c>
      <c r="AV149" s="9">
        <v>0</v>
      </c>
      <c r="AW149" s="9">
        <v>5</v>
      </c>
      <c r="AX149" s="9">
        <v>0</v>
      </c>
      <c r="AY149" s="9">
        <v>7</v>
      </c>
      <c r="AZ149" s="9">
        <v>11</v>
      </c>
    </row>
    <row r="150" spans="2:52">
      <c r="B150" t="str">
        <f t="shared" si="10"/>
        <v>May</v>
      </c>
      <c r="C150" s="43">
        <f t="shared" si="11"/>
        <v>46159</v>
      </c>
      <c r="D150" s="44">
        <f t="shared" si="12"/>
        <v>46157</v>
      </c>
      <c r="E150" s="9" t="s">
        <v>47</v>
      </c>
      <c r="F150">
        <f t="shared" si="13"/>
        <v>0</v>
      </c>
      <c r="G150">
        <f t="shared" si="14"/>
        <v>135</v>
      </c>
      <c r="AJ150" s="40">
        <v>46157</v>
      </c>
      <c r="AK150" s="9" t="s">
        <v>202</v>
      </c>
      <c r="AL150" s="9" t="s">
        <v>47</v>
      </c>
      <c r="AM150" s="9"/>
      <c r="AN150" s="9">
        <v>8</v>
      </c>
      <c r="AO150" s="9">
        <v>35</v>
      </c>
      <c r="AP150" s="9">
        <v>33</v>
      </c>
      <c r="AQ150" s="9">
        <v>38</v>
      </c>
      <c r="AR150" s="9">
        <v>0</v>
      </c>
      <c r="AS150" s="9">
        <v>3</v>
      </c>
      <c r="AT150" s="9">
        <v>38</v>
      </c>
      <c r="AU150" s="9">
        <v>36</v>
      </c>
      <c r="AV150" s="9">
        <v>0</v>
      </c>
      <c r="AW150" s="9">
        <v>15</v>
      </c>
      <c r="AX150" s="9">
        <v>15</v>
      </c>
      <c r="AY150" s="9">
        <v>0</v>
      </c>
      <c r="AZ150" s="9">
        <v>181</v>
      </c>
    </row>
    <row r="151" spans="2:52">
      <c r="B151" t="str">
        <f t="shared" si="10"/>
        <v>May</v>
      </c>
      <c r="C151" s="43">
        <f t="shared" si="11"/>
        <v>46159</v>
      </c>
      <c r="D151" s="44">
        <f t="shared" si="12"/>
        <v>46157</v>
      </c>
      <c r="E151" s="9" t="s">
        <v>206</v>
      </c>
      <c r="F151">
        <f t="shared" si="13"/>
        <v>0</v>
      </c>
      <c r="G151">
        <f t="shared" si="14"/>
        <v>90</v>
      </c>
      <c r="AJ151" s="40">
        <v>46157</v>
      </c>
      <c r="AK151" s="9" t="s">
        <v>43</v>
      </c>
      <c r="AL151" s="9" t="s">
        <v>206</v>
      </c>
      <c r="AM151" s="9"/>
      <c r="AN151" s="9">
        <v>60</v>
      </c>
      <c r="AO151" s="9">
        <v>70</v>
      </c>
      <c r="AP151" s="9">
        <v>59</v>
      </c>
      <c r="AQ151" s="9">
        <v>83</v>
      </c>
      <c r="AR151" s="9">
        <v>86</v>
      </c>
      <c r="AS151" s="9">
        <v>96</v>
      </c>
      <c r="AT151" s="9">
        <v>93</v>
      </c>
      <c r="AU151" s="9">
        <v>87</v>
      </c>
      <c r="AV151" s="9">
        <v>79</v>
      </c>
      <c r="AW151" s="9">
        <v>111</v>
      </c>
      <c r="AX151" s="9">
        <v>99</v>
      </c>
      <c r="AY151" s="9">
        <v>104</v>
      </c>
      <c r="AZ151" s="9">
        <v>99</v>
      </c>
    </row>
    <row r="152" spans="2:52">
      <c r="B152" t="str">
        <f t="shared" si="10"/>
        <v>May</v>
      </c>
      <c r="C152" s="43">
        <f t="shared" si="11"/>
        <v>46159</v>
      </c>
      <c r="D152" s="44">
        <f t="shared" si="12"/>
        <v>46157</v>
      </c>
      <c r="E152" s="9" t="s">
        <v>207</v>
      </c>
      <c r="F152">
        <f t="shared" si="13"/>
        <v>0</v>
      </c>
      <c r="G152">
        <f t="shared" si="14"/>
        <v>10</v>
      </c>
      <c r="AJ152" s="40">
        <v>46157</v>
      </c>
      <c r="AK152" s="9" t="s">
        <v>203</v>
      </c>
      <c r="AL152" s="9" t="s">
        <v>207</v>
      </c>
      <c r="AM152" s="9"/>
      <c r="AN152" s="9">
        <v>24</v>
      </c>
      <c r="AO152" s="9">
        <v>0</v>
      </c>
      <c r="AP152" s="9">
        <v>0</v>
      </c>
      <c r="AQ152" s="9">
        <v>15</v>
      </c>
      <c r="AR152" s="9">
        <v>8</v>
      </c>
      <c r="AS152" s="9">
        <v>0</v>
      </c>
      <c r="AT152" s="9">
        <v>0</v>
      </c>
      <c r="AU152" s="9">
        <v>5</v>
      </c>
      <c r="AV152" s="9">
        <v>2</v>
      </c>
      <c r="AW152" s="9">
        <v>7</v>
      </c>
      <c r="AX152" s="9">
        <v>8</v>
      </c>
      <c r="AY152" s="9">
        <v>6</v>
      </c>
      <c r="AZ152" s="9">
        <v>10</v>
      </c>
    </row>
    <row r="153" spans="2:52">
      <c r="B153" t="str">
        <f t="shared" si="10"/>
        <v>May</v>
      </c>
      <c r="C153" s="43">
        <f t="shared" si="11"/>
        <v>46159</v>
      </c>
      <c r="D153" s="44">
        <f t="shared" si="12"/>
        <v>46157</v>
      </c>
      <c r="E153" s="9" t="s">
        <v>42</v>
      </c>
      <c r="F153">
        <f t="shared" si="13"/>
        <v>0</v>
      </c>
      <c r="G153">
        <f t="shared" si="14"/>
        <v>-11</v>
      </c>
      <c r="AJ153" s="40">
        <v>46157</v>
      </c>
      <c r="AK153" s="9" t="s">
        <v>42</v>
      </c>
      <c r="AL153" s="9" t="s">
        <v>42</v>
      </c>
      <c r="AM153" s="9"/>
      <c r="AN153" s="9">
        <v>4</v>
      </c>
      <c r="AO153" s="9">
        <v>0</v>
      </c>
      <c r="AP153" s="9">
        <v>14</v>
      </c>
      <c r="AQ153" s="9">
        <v>14</v>
      </c>
      <c r="AR153" s="9">
        <v>15</v>
      </c>
      <c r="AS153" s="9">
        <v>0</v>
      </c>
      <c r="AT153" s="9">
        <v>11</v>
      </c>
      <c r="AU153" s="9">
        <v>0</v>
      </c>
      <c r="AV153" s="9">
        <v>0</v>
      </c>
      <c r="AW153" s="9">
        <v>87</v>
      </c>
      <c r="AX153" s="9">
        <v>89</v>
      </c>
      <c r="AY153" s="9">
        <v>54</v>
      </c>
      <c r="AZ153" s="9">
        <v>0</v>
      </c>
    </row>
    <row r="154" spans="2:52">
      <c r="B154" t="str">
        <f t="shared" si="10"/>
        <v>May</v>
      </c>
      <c r="C154" s="43">
        <f t="shared" si="11"/>
        <v>46159</v>
      </c>
      <c r="D154" s="44">
        <f t="shared" si="12"/>
        <v>46158</v>
      </c>
      <c r="E154" s="9" t="s">
        <v>31</v>
      </c>
      <c r="F154">
        <f t="shared" si="13"/>
        <v>0</v>
      </c>
      <c r="G154">
        <f t="shared" si="14"/>
        <v>31</v>
      </c>
      <c r="AJ154" s="40">
        <v>46158</v>
      </c>
      <c r="AK154" s="9" t="s">
        <v>204</v>
      </c>
      <c r="AL154" s="9" t="s">
        <v>31</v>
      </c>
      <c r="AM154" s="9"/>
      <c r="AN154" s="9">
        <v>109</v>
      </c>
      <c r="AO154" s="9">
        <v>91</v>
      </c>
      <c r="AP154" s="9">
        <v>106</v>
      </c>
      <c r="AQ154" s="9">
        <v>88</v>
      </c>
      <c r="AR154" s="9">
        <v>97</v>
      </c>
      <c r="AS154" s="9">
        <v>105</v>
      </c>
      <c r="AT154" s="9">
        <v>97</v>
      </c>
      <c r="AU154" s="9">
        <v>87</v>
      </c>
      <c r="AV154" s="9">
        <v>94</v>
      </c>
      <c r="AW154" s="9">
        <v>71</v>
      </c>
      <c r="AX154" s="9">
        <v>57</v>
      </c>
      <c r="AY154" s="9">
        <v>49</v>
      </c>
      <c r="AZ154" s="9">
        <v>55</v>
      </c>
    </row>
    <row r="155" spans="2:52">
      <c r="B155" t="str">
        <f t="shared" si="10"/>
        <v>May</v>
      </c>
      <c r="C155" s="43">
        <f t="shared" si="11"/>
        <v>46159</v>
      </c>
      <c r="D155" s="44">
        <f t="shared" si="12"/>
        <v>46158</v>
      </c>
      <c r="E155" s="9" t="s">
        <v>39</v>
      </c>
      <c r="F155">
        <f t="shared" si="13"/>
        <v>0</v>
      </c>
      <c r="G155">
        <f t="shared" si="14"/>
        <v>76</v>
      </c>
      <c r="AJ155" s="40">
        <v>46158</v>
      </c>
      <c r="AK155" s="9" t="s">
        <v>205</v>
      </c>
      <c r="AL155" s="9" t="s">
        <v>39</v>
      </c>
      <c r="AM155" s="9"/>
      <c r="AN155" s="9">
        <v>109</v>
      </c>
      <c r="AO155" s="9">
        <v>96</v>
      </c>
      <c r="AP155" s="9">
        <v>94</v>
      </c>
      <c r="AQ155" s="9">
        <v>85</v>
      </c>
      <c r="AR155" s="9">
        <v>38</v>
      </c>
      <c r="AS155" s="9">
        <v>155</v>
      </c>
      <c r="AT155" s="9">
        <v>168</v>
      </c>
      <c r="AU155" s="9">
        <v>212</v>
      </c>
      <c r="AV155" s="9">
        <v>217</v>
      </c>
      <c r="AW155" s="9">
        <v>203</v>
      </c>
      <c r="AX155" s="9">
        <v>209</v>
      </c>
      <c r="AY155" s="9">
        <v>194</v>
      </c>
      <c r="AZ155" s="9">
        <v>201</v>
      </c>
    </row>
    <row r="156" spans="2:52">
      <c r="B156" t="str">
        <f t="shared" si="10"/>
        <v>May</v>
      </c>
      <c r="C156" s="43">
        <f t="shared" si="11"/>
        <v>46159</v>
      </c>
      <c r="D156" s="44">
        <f t="shared" si="12"/>
        <v>46158</v>
      </c>
      <c r="E156" s="9" t="s">
        <v>40</v>
      </c>
      <c r="F156">
        <f t="shared" si="13"/>
        <v>0</v>
      </c>
      <c r="G156">
        <f t="shared" si="14"/>
        <v>0</v>
      </c>
      <c r="AJ156" s="40">
        <v>46158</v>
      </c>
      <c r="AK156" s="9" t="s">
        <v>205</v>
      </c>
      <c r="AL156" s="9" t="s">
        <v>40</v>
      </c>
      <c r="AM156" s="9"/>
      <c r="AN156" s="9">
        <v>49</v>
      </c>
      <c r="AO156" s="9">
        <v>53</v>
      </c>
      <c r="AP156" s="9">
        <v>52</v>
      </c>
      <c r="AQ156" s="9">
        <v>0</v>
      </c>
      <c r="AR156" s="9">
        <v>0</v>
      </c>
      <c r="AS156" s="9">
        <v>1</v>
      </c>
      <c r="AT156" s="9">
        <v>0</v>
      </c>
      <c r="AU156" s="9">
        <v>11</v>
      </c>
      <c r="AV156" s="9">
        <v>3</v>
      </c>
      <c r="AW156" s="9">
        <v>14</v>
      </c>
      <c r="AX156" s="9">
        <v>11</v>
      </c>
      <c r="AY156" s="9">
        <v>15</v>
      </c>
      <c r="AZ156" s="9">
        <v>0</v>
      </c>
    </row>
    <row r="157" spans="2:52">
      <c r="B157" t="str">
        <f t="shared" si="10"/>
        <v>May</v>
      </c>
      <c r="C157" s="43">
        <f t="shared" si="11"/>
        <v>46159</v>
      </c>
      <c r="D157" s="44">
        <f t="shared" si="12"/>
        <v>46158</v>
      </c>
      <c r="E157" s="9" t="s">
        <v>41</v>
      </c>
      <c r="F157">
        <f t="shared" si="13"/>
        <v>0</v>
      </c>
      <c r="G157">
        <f t="shared" si="14"/>
        <v>-11</v>
      </c>
      <c r="AJ157" s="40">
        <v>46158</v>
      </c>
      <c r="AK157" s="9" t="s">
        <v>41</v>
      </c>
      <c r="AL157" s="9" t="s">
        <v>41</v>
      </c>
      <c r="AM157" s="9"/>
      <c r="AN157" s="9">
        <v>0</v>
      </c>
      <c r="AO157" s="9">
        <v>0</v>
      </c>
      <c r="AP157" s="9">
        <v>0</v>
      </c>
      <c r="AQ157" s="9">
        <v>5</v>
      </c>
      <c r="AR157" s="9">
        <v>0</v>
      </c>
      <c r="AS157" s="9">
        <v>17</v>
      </c>
      <c r="AT157" s="9">
        <v>16</v>
      </c>
      <c r="AU157" s="9">
        <v>21</v>
      </c>
      <c r="AV157" s="9">
        <v>23</v>
      </c>
      <c r="AW157" s="9">
        <v>21</v>
      </c>
      <c r="AX157" s="9">
        <v>7</v>
      </c>
      <c r="AY157" s="9">
        <v>8</v>
      </c>
      <c r="AZ157" s="9">
        <v>4</v>
      </c>
    </row>
    <row r="158" spans="2:52">
      <c r="B158" t="str">
        <f t="shared" si="10"/>
        <v>May</v>
      </c>
      <c r="C158" s="43">
        <f t="shared" si="11"/>
        <v>46159</v>
      </c>
      <c r="D158" s="44">
        <f t="shared" si="12"/>
        <v>46158</v>
      </c>
      <c r="E158" s="9" t="s">
        <v>45</v>
      </c>
      <c r="F158">
        <f t="shared" si="13"/>
        <v>0</v>
      </c>
      <c r="G158">
        <f t="shared" si="14"/>
        <v>9</v>
      </c>
      <c r="AJ158" s="40">
        <v>46158</v>
      </c>
      <c r="AK158" s="9" t="s">
        <v>202</v>
      </c>
      <c r="AL158" s="9" t="s">
        <v>45</v>
      </c>
      <c r="AM158" s="9"/>
      <c r="AN158" s="9">
        <v>43</v>
      </c>
      <c r="AO158" s="9">
        <v>49</v>
      </c>
      <c r="AP158" s="9">
        <v>42</v>
      </c>
      <c r="AQ158" s="9">
        <v>40</v>
      </c>
      <c r="AR158" s="9">
        <v>36</v>
      </c>
      <c r="AS158" s="9">
        <v>0</v>
      </c>
      <c r="AT158" s="9">
        <v>13</v>
      </c>
      <c r="AU158" s="9">
        <v>21</v>
      </c>
      <c r="AV158" s="9">
        <v>0</v>
      </c>
      <c r="AW158" s="9">
        <v>0</v>
      </c>
      <c r="AX158" s="9">
        <v>14</v>
      </c>
      <c r="AY158" s="9">
        <v>14</v>
      </c>
      <c r="AZ158" s="9">
        <v>9</v>
      </c>
    </row>
    <row r="159" spans="2:52">
      <c r="B159" t="str">
        <f t="shared" si="10"/>
        <v>May</v>
      </c>
      <c r="C159" s="43">
        <f t="shared" si="11"/>
        <v>46159</v>
      </c>
      <c r="D159" s="44">
        <f t="shared" si="12"/>
        <v>46158</v>
      </c>
      <c r="E159" s="9" t="s">
        <v>46</v>
      </c>
      <c r="F159">
        <f t="shared" si="13"/>
        <v>0</v>
      </c>
      <c r="G159">
        <f t="shared" si="14"/>
        <v>-8</v>
      </c>
      <c r="AJ159" s="40">
        <v>46158</v>
      </c>
      <c r="AK159" s="9" t="s">
        <v>202</v>
      </c>
      <c r="AL159" s="9" t="s">
        <v>46</v>
      </c>
      <c r="AM159" s="9"/>
      <c r="AN159" s="9">
        <v>62</v>
      </c>
      <c r="AO159" s="9">
        <v>65</v>
      </c>
      <c r="AP159" s="9">
        <v>67</v>
      </c>
      <c r="AQ159" s="9">
        <v>71</v>
      </c>
      <c r="AR159" s="9">
        <v>0</v>
      </c>
      <c r="AS159" s="9">
        <v>0</v>
      </c>
      <c r="AT159" s="9">
        <v>4</v>
      </c>
      <c r="AU159" s="9">
        <v>0</v>
      </c>
      <c r="AV159" s="9">
        <v>4</v>
      </c>
      <c r="AW159" s="9">
        <v>136</v>
      </c>
      <c r="AX159" s="9">
        <v>136</v>
      </c>
      <c r="AY159" s="9">
        <v>0</v>
      </c>
      <c r="AZ159" s="9">
        <v>3</v>
      </c>
    </row>
    <row r="160" spans="2:52">
      <c r="B160" t="str">
        <f t="shared" si="10"/>
        <v>May</v>
      </c>
      <c r="C160" s="43">
        <f t="shared" si="11"/>
        <v>46159</v>
      </c>
      <c r="D160" s="44">
        <f t="shared" si="12"/>
        <v>46158</v>
      </c>
      <c r="E160" s="9" t="s">
        <v>47</v>
      </c>
      <c r="F160">
        <f t="shared" si="13"/>
        <v>0</v>
      </c>
      <c r="G160">
        <f t="shared" si="14"/>
        <v>-178</v>
      </c>
      <c r="AJ160" s="40">
        <v>46158</v>
      </c>
      <c r="AK160" s="9" t="s">
        <v>202</v>
      </c>
      <c r="AL160" s="9" t="s">
        <v>47</v>
      </c>
      <c r="AM160" s="9"/>
      <c r="AN160" s="9">
        <v>26</v>
      </c>
      <c r="AO160" s="9">
        <v>30</v>
      </c>
      <c r="AP160" s="9">
        <v>6</v>
      </c>
      <c r="AQ160" s="9">
        <v>5</v>
      </c>
      <c r="AR160" s="9">
        <v>0</v>
      </c>
      <c r="AS160" s="9">
        <v>0</v>
      </c>
      <c r="AT160" s="9">
        <v>1</v>
      </c>
      <c r="AU160" s="9">
        <v>6</v>
      </c>
      <c r="AV160" s="9">
        <v>9</v>
      </c>
      <c r="AW160" s="9">
        <v>1</v>
      </c>
      <c r="AX160" s="9">
        <v>5</v>
      </c>
      <c r="AY160" s="9">
        <v>3</v>
      </c>
      <c r="AZ160" s="9">
        <v>3</v>
      </c>
    </row>
    <row r="161" spans="2:52">
      <c r="B161" t="str">
        <f t="shared" si="10"/>
        <v>May</v>
      </c>
      <c r="C161" s="43">
        <f t="shared" si="11"/>
        <v>46159</v>
      </c>
      <c r="D161" s="44">
        <f t="shared" si="12"/>
        <v>46158</v>
      </c>
      <c r="E161" s="9" t="s">
        <v>206</v>
      </c>
      <c r="F161">
        <f t="shared" si="13"/>
        <v>0</v>
      </c>
      <c r="G161">
        <f t="shared" si="14"/>
        <v>141</v>
      </c>
      <c r="AJ161" s="40">
        <v>46158</v>
      </c>
      <c r="AK161" s="9" t="s">
        <v>43</v>
      </c>
      <c r="AL161" s="9" t="s">
        <v>206</v>
      </c>
      <c r="AM161" s="9"/>
      <c r="AN161" s="9">
        <v>76</v>
      </c>
      <c r="AO161" s="9">
        <v>126</v>
      </c>
      <c r="AP161" s="9">
        <v>119</v>
      </c>
      <c r="AQ161" s="9">
        <v>223</v>
      </c>
      <c r="AR161" s="9">
        <v>216</v>
      </c>
      <c r="AS161" s="9">
        <v>222</v>
      </c>
      <c r="AT161" s="9">
        <v>226</v>
      </c>
      <c r="AU161" s="9">
        <v>219</v>
      </c>
      <c r="AV161" s="9">
        <v>214</v>
      </c>
      <c r="AW161" s="9">
        <v>240</v>
      </c>
      <c r="AX161" s="9">
        <v>232</v>
      </c>
      <c r="AY161" s="9">
        <v>240</v>
      </c>
      <c r="AZ161" s="9">
        <v>240</v>
      </c>
    </row>
    <row r="162" spans="2:52">
      <c r="B162" t="str">
        <f t="shared" si="10"/>
        <v>May</v>
      </c>
      <c r="C162" s="43">
        <f t="shared" si="11"/>
        <v>46159</v>
      </c>
      <c r="D162" s="44">
        <f t="shared" si="12"/>
        <v>46158</v>
      </c>
      <c r="E162" s="9" t="s">
        <v>207</v>
      </c>
      <c r="F162">
        <f t="shared" si="13"/>
        <v>0</v>
      </c>
      <c r="G162">
        <f t="shared" si="14"/>
        <v>34</v>
      </c>
      <c r="AJ162" s="40">
        <v>46158</v>
      </c>
      <c r="AK162" s="9" t="s">
        <v>203</v>
      </c>
      <c r="AL162" s="9" t="s">
        <v>207</v>
      </c>
      <c r="AM162" s="9"/>
      <c r="AN162" s="9">
        <v>21</v>
      </c>
      <c r="AO162" s="9">
        <v>24</v>
      </c>
      <c r="AP162" s="9">
        <v>0</v>
      </c>
      <c r="AQ162" s="9">
        <v>7</v>
      </c>
      <c r="AR162" s="9">
        <v>1</v>
      </c>
      <c r="AS162" s="9">
        <v>0</v>
      </c>
      <c r="AT162" s="9">
        <v>43</v>
      </c>
      <c r="AU162" s="9">
        <v>0</v>
      </c>
      <c r="AV162" s="9">
        <v>29</v>
      </c>
      <c r="AW162" s="9">
        <v>36</v>
      </c>
      <c r="AX162" s="9">
        <v>42</v>
      </c>
      <c r="AY162" s="9">
        <v>36</v>
      </c>
      <c r="AZ162" s="9">
        <v>44</v>
      </c>
    </row>
    <row r="163" spans="2:52">
      <c r="B163" t="str">
        <f t="shared" si="10"/>
        <v>May</v>
      </c>
      <c r="C163" s="43">
        <f t="shared" si="11"/>
        <v>46159</v>
      </c>
      <c r="D163" s="44">
        <f t="shared" si="12"/>
        <v>46158</v>
      </c>
      <c r="E163" s="9" t="s">
        <v>42</v>
      </c>
      <c r="F163">
        <f t="shared" si="13"/>
        <v>0</v>
      </c>
      <c r="G163">
        <f t="shared" si="14"/>
        <v>88</v>
      </c>
      <c r="AJ163" s="40">
        <v>46158</v>
      </c>
      <c r="AK163" s="9" t="s">
        <v>42</v>
      </c>
      <c r="AL163" s="9" t="s">
        <v>42</v>
      </c>
      <c r="AM163" s="9"/>
      <c r="AN163" s="9">
        <v>36</v>
      </c>
      <c r="AO163" s="9">
        <v>32</v>
      </c>
      <c r="AP163" s="9">
        <v>26</v>
      </c>
      <c r="AQ163" s="9">
        <v>0</v>
      </c>
      <c r="AR163" s="9">
        <v>11</v>
      </c>
      <c r="AS163" s="9">
        <v>8</v>
      </c>
      <c r="AT163" s="9">
        <v>0</v>
      </c>
      <c r="AU163" s="9">
        <v>0</v>
      </c>
      <c r="AV163" s="9">
        <v>17</v>
      </c>
      <c r="AW163" s="9">
        <v>23</v>
      </c>
      <c r="AX163" s="9">
        <v>20</v>
      </c>
      <c r="AY163" s="9">
        <v>82</v>
      </c>
      <c r="AZ163" s="9">
        <v>88</v>
      </c>
    </row>
    <row r="164" spans="2:52">
      <c r="B164" t="str">
        <f t="shared" si="10"/>
        <v>May</v>
      </c>
      <c r="C164" s="43">
        <f t="shared" si="11"/>
        <v>46166</v>
      </c>
      <c r="D164" s="44">
        <f t="shared" si="12"/>
        <v>46159</v>
      </c>
      <c r="E164" s="9" t="s">
        <v>31</v>
      </c>
      <c r="F164">
        <f t="shared" si="13"/>
        <v>0</v>
      </c>
      <c r="G164">
        <f t="shared" si="14"/>
        <v>-25</v>
      </c>
      <c r="AJ164" s="40">
        <v>46159</v>
      </c>
      <c r="AK164" s="9" t="s">
        <v>204</v>
      </c>
      <c r="AL164" s="9" t="s">
        <v>31</v>
      </c>
      <c r="AM164" s="9"/>
      <c r="AN164" s="9">
        <v>86</v>
      </c>
      <c r="AO164" s="9">
        <v>47</v>
      </c>
      <c r="AP164" s="9">
        <v>50</v>
      </c>
      <c r="AQ164" s="9">
        <v>64</v>
      </c>
      <c r="AR164" s="9">
        <v>60</v>
      </c>
      <c r="AS164" s="9">
        <v>49</v>
      </c>
      <c r="AT164" s="9">
        <v>31</v>
      </c>
      <c r="AU164" s="9">
        <v>18</v>
      </c>
      <c r="AV164" s="9">
        <v>8</v>
      </c>
      <c r="AW164" s="9">
        <v>0</v>
      </c>
      <c r="AX164" s="9">
        <v>25</v>
      </c>
      <c r="AY164" s="9">
        <v>19</v>
      </c>
      <c r="AZ164" s="9">
        <v>30</v>
      </c>
    </row>
    <row r="165" spans="2:52">
      <c r="B165" t="str">
        <f t="shared" si="10"/>
        <v>May</v>
      </c>
      <c r="C165" s="43">
        <f t="shared" si="11"/>
        <v>46166</v>
      </c>
      <c r="D165" s="44">
        <f t="shared" si="12"/>
        <v>46159</v>
      </c>
      <c r="E165" s="9" t="s">
        <v>39</v>
      </c>
      <c r="F165">
        <f t="shared" si="13"/>
        <v>0</v>
      </c>
      <c r="G165">
        <f t="shared" si="14"/>
        <v>-175</v>
      </c>
      <c r="AJ165" s="40">
        <v>46159</v>
      </c>
      <c r="AK165" s="9" t="s">
        <v>205</v>
      </c>
      <c r="AL165" s="9" t="s">
        <v>39</v>
      </c>
      <c r="AM165" s="9"/>
      <c r="AN165" s="9">
        <v>0</v>
      </c>
      <c r="AO165" s="9">
        <v>3</v>
      </c>
      <c r="AP165" s="9">
        <v>0</v>
      </c>
      <c r="AQ165" s="9">
        <v>9</v>
      </c>
      <c r="AR165" s="9">
        <v>0</v>
      </c>
      <c r="AS165" s="9">
        <v>0</v>
      </c>
      <c r="AT165" s="9">
        <v>12</v>
      </c>
      <c r="AU165" s="9">
        <v>22</v>
      </c>
      <c r="AV165" s="9">
        <v>9</v>
      </c>
      <c r="AW165" s="9">
        <v>9</v>
      </c>
      <c r="AX165" s="9">
        <v>0</v>
      </c>
      <c r="AY165" s="9">
        <v>37</v>
      </c>
      <c r="AZ165" s="9">
        <v>26</v>
      </c>
    </row>
    <row r="166" spans="2:52">
      <c r="B166" t="str">
        <f t="shared" si="10"/>
        <v>May</v>
      </c>
      <c r="C166" s="43">
        <f t="shared" si="11"/>
        <v>46166</v>
      </c>
      <c r="D166" s="44">
        <f t="shared" si="12"/>
        <v>46159</v>
      </c>
      <c r="E166" s="9" t="s">
        <v>40</v>
      </c>
      <c r="F166">
        <f t="shared" si="13"/>
        <v>0</v>
      </c>
      <c r="G166">
        <f t="shared" si="14"/>
        <v>142</v>
      </c>
      <c r="AJ166" s="40">
        <v>46159</v>
      </c>
      <c r="AK166" s="9" t="s">
        <v>205</v>
      </c>
      <c r="AL166" s="9" t="s">
        <v>40</v>
      </c>
      <c r="AM166" s="9"/>
      <c r="AN166" s="9">
        <v>53</v>
      </c>
      <c r="AO166" s="9">
        <v>62</v>
      </c>
      <c r="AP166" s="9">
        <v>134</v>
      </c>
      <c r="AQ166" s="9">
        <v>112</v>
      </c>
      <c r="AR166" s="9">
        <v>117</v>
      </c>
      <c r="AS166" s="9">
        <v>119</v>
      </c>
      <c r="AT166" s="9">
        <v>125</v>
      </c>
      <c r="AU166" s="9">
        <v>122</v>
      </c>
      <c r="AV166" s="9">
        <v>132</v>
      </c>
      <c r="AW166" s="9">
        <v>144</v>
      </c>
      <c r="AX166" s="9">
        <v>143</v>
      </c>
      <c r="AY166" s="9">
        <v>152</v>
      </c>
      <c r="AZ166" s="9">
        <v>142</v>
      </c>
    </row>
    <row r="167" spans="2:52">
      <c r="B167" t="str">
        <f t="shared" si="10"/>
        <v>May</v>
      </c>
      <c r="C167" s="43">
        <f t="shared" si="11"/>
        <v>46166</v>
      </c>
      <c r="D167" s="44">
        <f t="shared" si="12"/>
        <v>46159</v>
      </c>
      <c r="E167" s="9" t="s">
        <v>41</v>
      </c>
      <c r="F167">
        <f t="shared" si="13"/>
        <v>0</v>
      </c>
      <c r="G167">
        <f t="shared" si="14"/>
        <v>10</v>
      </c>
      <c r="AJ167" s="40">
        <v>46159</v>
      </c>
      <c r="AK167" s="9" t="s">
        <v>41</v>
      </c>
      <c r="AL167" s="9" t="s">
        <v>41</v>
      </c>
      <c r="AM167" s="9"/>
      <c r="AN167" s="9">
        <v>25</v>
      </c>
      <c r="AO167" s="9">
        <v>25</v>
      </c>
      <c r="AP167" s="9">
        <v>22</v>
      </c>
      <c r="AQ167" s="9">
        <v>19</v>
      </c>
      <c r="AR167" s="9">
        <v>16</v>
      </c>
      <c r="AS167" s="9">
        <v>13</v>
      </c>
      <c r="AT167" s="9">
        <v>9</v>
      </c>
      <c r="AU167" s="9">
        <v>9</v>
      </c>
      <c r="AV167" s="9">
        <v>13</v>
      </c>
      <c r="AW167" s="9">
        <v>9</v>
      </c>
      <c r="AX167" s="9">
        <v>0</v>
      </c>
      <c r="AY167" s="9">
        <v>17</v>
      </c>
      <c r="AZ167" s="9">
        <v>14</v>
      </c>
    </row>
    <row r="168" spans="2:52">
      <c r="B168" t="str">
        <f t="shared" si="10"/>
        <v>May</v>
      </c>
      <c r="C168" s="43">
        <f t="shared" si="11"/>
        <v>46166</v>
      </c>
      <c r="D168" s="44">
        <f t="shared" si="12"/>
        <v>46159</v>
      </c>
      <c r="E168" s="9" t="s">
        <v>45</v>
      </c>
      <c r="F168">
        <f t="shared" si="13"/>
        <v>0</v>
      </c>
      <c r="G168">
        <f t="shared" si="14"/>
        <v>30</v>
      </c>
      <c r="AJ168" s="40">
        <v>46159</v>
      </c>
      <c r="AK168" s="9" t="s">
        <v>202</v>
      </c>
      <c r="AL168" s="9" t="s">
        <v>45</v>
      </c>
      <c r="AM168" s="9"/>
      <c r="AN168" s="9">
        <v>39</v>
      </c>
      <c r="AO168" s="9">
        <v>0</v>
      </c>
      <c r="AP168" s="9">
        <v>4</v>
      </c>
      <c r="AQ168" s="9">
        <v>0</v>
      </c>
      <c r="AR168" s="9">
        <v>7</v>
      </c>
      <c r="AS168" s="9">
        <v>0</v>
      </c>
      <c r="AT168" s="9">
        <v>0</v>
      </c>
      <c r="AU168" s="9">
        <v>21</v>
      </c>
      <c r="AV168" s="9">
        <v>0</v>
      </c>
      <c r="AW168" s="9">
        <v>28</v>
      </c>
      <c r="AX168" s="9">
        <v>27</v>
      </c>
      <c r="AY168" s="9">
        <v>32</v>
      </c>
      <c r="AZ168" s="9">
        <v>39</v>
      </c>
    </row>
    <row r="169" spans="2:52">
      <c r="B169" t="str">
        <f t="shared" si="10"/>
        <v>May</v>
      </c>
      <c r="C169" s="43">
        <f t="shared" si="11"/>
        <v>46166</v>
      </c>
      <c r="D169" s="44">
        <f t="shared" si="12"/>
        <v>46159</v>
      </c>
      <c r="E169" s="9" t="s">
        <v>46</v>
      </c>
      <c r="F169">
        <f t="shared" si="13"/>
        <v>0</v>
      </c>
      <c r="G169">
        <f t="shared" si="14"/>
        <v>-3</v>
      </c>
      <c r="AJ169" s="40">
        <v>46159</v>
      </c>
      <c r="AK169" s="9" t="s">
        <v>202</v>
      </c>
      <c r="AL169" s="9" t="s">
        <v>46</v>
      </c>
      <c r="AM169" s="9"/>
      <c r="AN169" s="9">
        <v>35</v>
      </c>
      <c r="AO169" s="9">
        <v>32</v>
      </c>
      <c r="AP169" s="9">
        <v>33</v>
      </c>
      <c r="AQ169" s="9">
        <v>0</v>
      </c>
      <c r="AR169" s="9">
        <v>0</v>
      </c>
      <c r="AS169" s="9">
        <v>2</v>
      </c>
      <c r="AT169" s="9">
        <v>41</v>
      </c>
      <c r="AU169" s="9">
        <v>88</v>
      </c>
      <c r="AV169" s="9">
        <v>111</v>
      </c>
      <c r="AW169" s="9">
        <v>109</v>
      </c>
      <c r="AX169" s="9">
        <v>110</v>
      </c>
      <c r="AY169" s="9">
        <v>108</v>
      </c>
      <c r="AZ169" s="9">
        <v>0</v>
      </c>
    </row>
    <row r="170" spans="2:52">
      <c r="B170" t="str">
        <f t="shared" si="10"/>
        <v>May</v>
      </c>
      <c r="C170" s="43">
        <f t="shared" si="11"/>
        <v>46166</v>
      </c>
      <c r="D170" s="44">
        <f t="shared" si="12"/>
        <v>46159</v>
      </c>
      <c r="E170" s="9" t="s">
        <v>47</v>
      </c>
      <c r="F170">
        <f t="shared" si="13"/>
        <v>0</v>
      </c>
      <c r="G170">
        <f t="shared" si="14"/>
        <v>111</v>
      </c>
      <c r="AJ170" s="40">
        <v>46159</v>
      </c>
      <c r="AK170" s="9" t="s">
        <v>202</v>
      </c>
      <c r="AL170" s="9" t="s">
        <v>47</v>
      </c>
      <c r="AM170" s="9"/>
      <c r="AN170" s="9">
        <v>11</v>
      </c>
      <c r="AO170" s="9">
        <v>15</v>
      </c>
      <c r="AP170" s="9">
        <v>13</v>
      </c>
      <c r="AQ170" s="9">
        <v>18</v>
      </c>
      <c r="AR170" s="9">
        <v>14</v>
      </c>
      <c r="AS170" s="9">
        <v>19</v>
      </c>
      <c r="AT170" s="9">
        <v>0</v>
      </c>
      <c r="AU170" s="9">
        <v>4</v>
      </c>
      <c r="AV170" s="9">
        <v>6</v>
      </c>
      <c r="AW170" s="9">
        <v>59</v>
      </c>
      <c r="AX170" s="9">
        <v>57</v>
      </c>
      <c r="AY170" s="9">
        <v>113</v>
      </c>
      <c r="AZ170" s="9">
        <v>114</v>
      </c>
    </row>
    <row r="171" spans="2:52">
      <c r="B171" t="str">
        <f t="shared" si="10"/>
        <v>May</v>
      </c>
      <c r="C171" s="43">
        <f t="shared" si="11"/>
        <v>46166</v>
      </c>
      <c r="D171" s="44">
        <f t="shared" si="12"/>
        <v>46159</v>
      </c>
      <c r="E171" s="9" t="s">
        <v>206</v>
      </c>
      <c r="F171">
        <f t="shared" si="13"/>
        <v>0</v>
      </c>
      <c r="G171">
        <f t="shared" si="14"/>
        <v>-237</v>
      </c>
      <c r="AJ171" s="40">
        <v>46159</v>
      </c>
      <c r="AK171" s="9" t="s">
        <v>43</v>
      </c>
      <c r="AL171" s="9" t="s">
        <v>206</v>
      </c>
      <c r="AM171" s="9"/>
      <c r="AN171" s="9">
        <v>0</v>
      </c>
      <c r="AO171" s="9">
        <v>30</v>
      </c>
      <c r="AP171" s="9">
        <v>0</v>
      </c>
      <c r="AQ171" s="9">
        <v>0</v>
      </c>
      <c r="AR171" s="9">
        <v>0</v>
      </c>
      <c r="AS171" s="9">
        <v>0</v>
      </c>
      <c r="AT171" s="9">
        <v>0</v>
      </c>
      <c r="AU171" s="9">
        <v>24</v>
      </c>
      <c r="AV171" s="9">
        <v>76</v>
      </c>
      <c r="AW171" s="9">
        <v>86</v>
      </c>
      <c r="AX171" s="9">
        <v>96</v>
      </c>
      <c r="AY171" s="9">
        <v>0</v>
      </c>
      <c r="AZ171" s="9">
        <v>3</v>
      </c>
    </row>
    <row r="172" spans="2:52">
      <c r="B172" t="str">
        <f t="shared" si="10"/>
        <v>May</v>
      </c>
      <c r="C172" s="43">
        <f t="shared" si="11"/>
        <v>46166</v>
      </c>
      <c r="D172" s="44">
        <f t="shared" si="12"/>
        <v>46159</v>
      </c>
      <c r="E172" s="9" t="s">
        <v>207</v>
      </c>
      <c r="F172">
        <f t="shared" si="13"/>
        <v>0</v>
      </c>
      <c r="G172">
        <f t="shared" si="14"/>
        <v>-35</v>
      </c>
      <c r="AJ172" s="40">
        <v>46159</v>
      </c>
      <c r="AK172" s="9" t="s">
        <v>203</v>
      </c>
      <c r="AL172" s="9" t="s">
        <v>207</v>
      </c>
      <c r="AM172" s="9"/>
      <c r="AN172" s="9">
        <v>64</v>
      </c>
      <c r="AO172" s="9">
        <v>66</v>
      </c>
      <c r="AP172" s="9">
        <v>66</v>
      </c>
      <c r="AQ172" s="9">
        <v>69</v>
      </c>
      <c r="AR172" s="9">
        <v>62</v>
      </c>
      <c r="AS172" s="9">
        <v>68</v>
      </c>
      <c r="AT172" s="9">
        <v>76</v>
      </c>
      <c r="AU172" s="9">
        <v>0</v>
      </c>
      <c r="AV172" s="9">
        <v>0</v>
      </c>
      <c r="AW172" s="9">
        <v>0</v>
      </c>
      <c r="AX172" s="9">
        <v>9</v>
      </c>
      <c r="AY172" s="9">
        <v>11</v>
      </c>
      <c r="AZ172" s="9">
        <v>9</v>
      </c>
    </row>
    <row r="173" spans="2:52">
      <c r="B173" t="str">
        <f t="shared" si="10"/>
        <v>May</v>
      </c>
      <c r="C173" s="43">
        <f t="shared" si="11"/>
        <v>46166</v>
      </c>
      <c r="D173" s="44">
        <f t="shared" si="12"/>
        <v>46159</v>
      </c>
      <c r="E173" s="9" t="s">
        <v>42</v>
      </c>
      <c r="F173">
        <f t="shared" si="13"/>
        <v>0</v>
      </c>
      <c r="G173">
        <f t="shared" si="14"/>
        <v>-77</v>
      </c>
      <c r="AJ173" s="40">
        <v>46159</v>
      </c>
      <c r="AK173" s="9" t="s">
        <v>42</v>
      </c>
      <c r="AL173" s="9" t="s">
        <v>42</v>
      </c>
      <c r="AM173" s="9"/>
      <c r="AN173" s="9">
        <v>40</v>
      </c>
      <c r="AO173" s="9">
        <v>35</v>
      </c>
      <c r="AP173" s="9">
        <v>181</v>
      </c>
      <c r="AQ173" s="9">
        <v>187</v>
      </c>
      <c r="AR173" s="9">
        <v>193</v>
      </c>
      <c r="AS173" s="9">
        <v>194</v>
      </c>
      <c r="AT173" s="9">
        <v>191</v>
      </c>
      <c r="AU173" s="9">
        <v>189</v>
      </c>
      <c r="AV173" s="9">
        <v>195</v>
      </c>
      <c r="AW173" s="9">
        <v>0</v>
      </c>
      <c r="AX173" s="9">
        <v>0</v>
      </c>
      <c r="AY173" s="9">
        <v>7</v>
      </c>
      <c r="AZ173" s="9">
        <v>11</v>
      </c>
    </row>
    <row r="174" spans="2:52">
      <c r="B174" t="str">
        <f t="shared" si="10"/>
        <v>May</v>
      </c>
      <c r="C174" s="43">
        <f t="shared" si="11"/>
        <v>46166</v>
      </c>
      <c r="D174" s="44">
        <f t="shared" si="12"/>
        <v>46160</v>
      </c>
      <c r="E174" s="9" t="s">
        <v>31</v>
      </c>
      <c r="F174">
        <f t="shared" si="13"/>
        <v>0</v>
      </c>
      <c r="G174">
        <f t="shared" si="14"/>
        <v>-30</v>
      </c>
      <c r="AJ174" s="40">
        <v>46160</v>
      </c>
      <c r="AK174" s="9" t="s">
        <v>204</v>
      </c>
      <c r="AL174" s="9" t="s">
        <v>31</v>
      </c>
      <c r="AM174" s="9"/>
      <c r="AN174" s="9">
        <v>118</v>
      </c>
      <c r="AO174" s="9">
        <v>120</v>
      </c>
      <c r="AP174" s="9">
        <v>117</v>
      </c>
      <c r="AQ174" s="9">
        <v>135</v>
      </c>
      <c r="AR174" s="9">
        <v>124</v>
      </c>
      <c r="AS174" s="9">
        <v>120</v>
      </c>
      <c r="AT174" s="9">
        <v>95</v>
      </c>
      <c r="AU174" s="9">
        <v>162</v>
      </c>
      <c r="AV174" s="9">
        <v>173</v>
      </c>
      <c r="AW174" s="9">
        <v>181</v>
      </c>
      <c r="AX174" s="9">
        <v>0</v>
      </c>
      <c r="AY174" s="9">
        <v>25</v>
      </c>
      <c r="AZ174" s="9">
        <v>0</v>
      </c>
    </row>
    <row r="175" spans="2:52">
      <c r="B175" t="str">
        <f t="shared" si="10"/>
        <v>May</v>
      </c>
      <c r="C175" s="43">
        <f t="shared" si="11"/>
        <v>46166</v>
      </c>
      <c r="D175" s="44">
        <f t="shared" si="12"/>
        <v>46160</v>
      </c>
      <c r="E175" s="9" t="s">
        <v>39</v>
      </c>
      <c r="F175">
        <f t="shared" si="13"/>
        <v>0</v>
      </c>
      <c r="G175">
        <f t="shared" si="14"/>
        <v>137</v>
      </c>
      <c r="AJ175" s="40">
        <v>46160</v>
      </c>
      <c r="AK175" s="9" t="s">
        <v>205</v>
      </c>
      <c r="AL175" s="9" t="s">
        <v>39</v>
      </c>
      <c r="AM175" s="9"/>
      <c r="AN175" s="9">
        <v>217</v>
      </c>
      <c r="AO175" s="9">
        <v>240</v>
      </c>
      <c r="AP175" s="9">
        <v>240</v>
      </c>
      <c r="AQ175" s="9">
        <v>240</v>
      </c>
      <c r="AR175" s="9">
        <v>240</v>
      </c>
      <c r="AS175" s="9">
        <v>236</v>
      </c>
      <c r="AT175" s="9">
        <v>239</v>
      </c>
      <c r="AU175" s="9">
        <v>240</v>
      </c>
      <c r="AV175" s="9">
        <v>0</v>
      </c>
      <c r="AW175" s="9">
        <v>123</v>
      </c>
      <c r="AX175" s="9">
        <v>139</v>
      </c>
      <c r="AY175" s="9">
        <v>134</v>
      </c>
      <c r="AZ175" s="9">
        <v>163</v>
      </c>
    </row>
    <row r="176" spans="2:52">
      <c r="B176" t="str">
        <f t="shared" si="10"/>
        <v>May</v>
      </c>
      <c r="C176" s="43">
        <f t="shared" si="11"/>
        <v>46166</v>
      </c>
      <c r="D176" s="44">
        <f t="shared" si="12"/>
        <v>46160</v>
      </c>
      <c r="E176" s="9" t="s">
        <v>40</v>
      </c>
      <c r="F176">
        <f t="shared" si="13"/>
        <v>0</v>
      </c>
      <c r="G176">
        <f t="shared" si="14"/>
        <v>-90</v>
      </c>
      <c r="AJ176" s="40">
        <v>46160</v>
      </c>
      <c r="AK176" s="9" t="s">
        <v>205</v>
      </c>
      <c r="AL176" s="9" t="s">
        <v>40</v>
      </c>
      <c r="AM176" s="9"/>
      <c r="AN176" s="9">
        <v>37</v>
      </c>
      <c r="AO176" s="9">
        <v>41</v>
      </c>
      <c r="AP176" s="9">
        <v>70</v>
      </c>
      <c r="AQ176" s="9">
        <v>0</v>
      </c>
      <c r="AR176" s="9">
        <v>0</v>
      </c>
      <c r="AS176" s="9">
        <v>0</v>
      </c>
      <c r="AT176" s="9">
        <v>0</v>
      </c>
      <c r="AU176" s="9">
        <v>36</v>
      </c>
      <c r="AV176" s="9">
        <v>43</v>
      </c>
      <c r="AW176" s="9">
        <v>48</v>
      </c>
      <c r="AX176" s="9">
        <v>42</v>
      </c>
      <c r="AY176" s="9">
        <v>41</v>
      </c>
      <c r="AZ176" s="9">
        <v>52</v>
      </c>
    </row>
    <row r="177" spans="2:52">
      <c r="B177" t="str">
        <f t="shared" si="10"/>
        <v>May</v>
      </c>
      <c r="C177" s="43">
        <f t="shared" si="11"/>
        <v>46166</v>
      </c>
      <c r="D177" s="44">
        <f t="shared" si="12"/>
        <v>46160</v>
      </c>
      <c r="E177" s="9" t="s">
        <v>41</v>
      </c>
      <c r="F177">
        <f t="shared" si="13"/>
        <v>0</v>
      </c>
      <c r="G177">
        <f t="shared" si="14"/>
        <v>-4</v>
      </c>
      <c r="AJ177" s="40">
        <v>46160</v>
      </c>
      <c r="AK177" s="9" t="s">
        <v>41</v>
      </c>
      <c r="AL177" s="9" t="s">
        <v>41</v>
      </c>
      <c r="AM177" s="9"/>
      <c r="AN177" s="9">
        <v>26</v>
      </c>
      <c r="AO177" s="9">
        <v>29</v>
      </c>
      <c r="AP177" s="9">
        <v>0</v>
      </c>
      <c r="AQ177" s="9">
        <v>0</v>
      </c>
      <c r="AR177" s="9">
        <v>0</v>
      </c>
      <c r="AS177" s="9">
        <v>0</v>
      </c>
      <c r="AT177" s="9">
        <v>4</v>
      </c>
      <c r="AU177" s="9">
        <v>0</v>
      </c>
      <c r="AV177" s="9">
        <v>0</v>
      </c>
      <c r="AW177" s="9">
        <v>0</v>
      </c>
      <c r="AX177" s="9">
        <v>12</v>
      </c>
      <c r="AY177" s="9">
        <v>9</v>
      </c>
      <c r="AZ177" s="9">
        <v>10</v>
      </c>
    </row>
    <row r="178" spans="2:52">
      <c r="B178" t="str">
        <f t="shared" si="10"/>
        <v>May</v>
      </c>
      <c r="C178" s="43">
        <f t="shared" si="11"/>
        <v>46166</v>
      </c>
      <c r="D178" s="44">
        <f t="shared" si="12"/>
        <v>46160</v>
      </c>
      <c r="E178" s="9" t="s">
        <v>45</v>
      </c>
      <c r="F178">
        <f t="shared" si="13"/>
        <v>0</v>
      </c>
      <c r="G178">
        <f t="shared" si="14"/>
        <v>-20</v>
      </c>
      <c r="AJ178" s="40">
        <v>46160</v>
      </c>
      <c r="AK178" s="9" t="s">
        <v>202</v>
      </c>
      <c r="AL178" s="9" t="s">
        <v>45</v>
      </c>
      <c r="AM178" s="9"/>
      <c r="AN178" s="9">
        <v>0</v>
      </c>
      <c r="AO178" s="9">
        <v>4</v>
      </c>
      <c r="AP178" s="9">
        <v>0</v>
      </c>
      <c r="AQ178" s="9">
        <v>7</v>
      </c>
      <c r="AR178" s="9">
        <v>0</v>
      </c>
      <c r="AS178" s="9">
        <v>0</v>
      </c>
      <c r="AT178" s="9">
        <v>0</v>
      </c>
      <c r="AU178" s="9">
        <v>157</v>
      </c>
      <c r="AV178" s="9">
        <v>0</v>
      </c>
      <c r="AW178" s="9">
        <v>27</v>
      </c>
      <c r="AX178" s="9">
        <v>20</v>
      </c>
      <c r="AY178" s="9">
        <v>20</v>
      </c>
      <c r="AZ178" s="9">
        <v>19</v>
      </c>
    </row>
    <row r="179" spans="2:52">
      <c r="B179" t="str">
        <f t="shared" si="10"/>
        <v>May</v>
      </c>
      <c r="C179" s="43">
        <f t="shared" si="11"/>
        <v>46166</v>
      </c>
      <c r="D179" s="44">
        <f t="shared" si="12"/>
        <v>46160</v>
      </c>
      <c r="E179" s="9" t="s">
        <v>46</v>
      </c>
      <c r="F179">
        <f t="shared" si="13"/>
        <v>0</v>
      </c>
      <c r="G179">
        <f t="shared" si="14"/>
        <v>41</v>
      </c>
      <c r="AJ179" s="40">
        <v>46160</v>
      </c>
      <c r="AK179" s="9" t="s">
        <v>202</v>
      </c>
      <c r="AL179" s="9" t="s">
        <v>46</v>
      </c>
      <c r="AM179" s="9"/>
      <c r="AN179" s="9">
        <v>16</v>
      </c>
      <c r="AO179" s="9">
        <v>17</v>
      </c>
      <c r="AP179" s="9">
        <v>0</v>
      </c>
      <c r="AQ179" s="9">
        <v>0</v>
      </c>
      <c r="AR179" s="9">
        <v>15</v>
      </c>
      <c r="AS179" s="9">
        <v>0</v>
      </c>
      <c r="AT179" s="9">
        <v>2</v>
      </c>
      <c r="AU179" s="9">
        <v>0</v>
      </c>
      <c r="AV179" s="9">
        <v>0</v>
      </c>
      <c r="AW179" s="9">
        <v>0</v>
      </c>
      <c r="AX179" s="9">
        <v>12</v>
      </c>
      <c r="AY179" s="9">
        <v>10</v>
      </c>
      <c r="AZ179" s="9">
        <v>41</v>
      </c>
    </row>
    <row r="180" spans="2:52">
      <c r="B180" t="str">
        <f t="shared" si="10"/>
        <v>May</v>
      </c>
      <c r="C180" s="43">
        <f t="shared" si="11"/>
        <v>46166</v>
      </c>
      <c r="D180" s="44">
        <f t="shared" si="12"/>
        <v>46160</v>
      </c>
      <c r="E180" s="9" t="s">
        <v>47</v>
      </c>
      <c r="F180">
        <f t="shared" si="13"/>
        <v>0</v>
      </c>
      <c r="G180">
        <f t="shared" si="14"/>
        <v>-34</v>
      </c>
      <c r="AJ180" s="40">
        <v>46160</v>
      </c>
      <c r="AK180" s="9" t="s">
        <v>202</v>
      </c>
      <c r="AL180" s="9" t="s">
        <v>47</v>
      </c>
      <c r="AM180" s="9"/>
      <c r="AN180" s="9">
        <v>6</v>
      </c>
      <c r="AO180" s="9">
        <v>8</v>
      </c>
      <c r="AP180" s="9">
        <v>10</v>
      </c>
      <c r="AQ180" s="9">
        <v>15</v>
      </c>
      <c r="AR180" s="9">
        <v>20</v>
      </c>
      <c r="AS180" s="9">
        <v>20</v>
      </c>
      <c r="AT180" s="9">
        <v>70</v>
      </c>
      <c r="AU180" s="9">
        <v>74</v>
      </c>
      <c r="AV180" s="9">
        <v>78</v>
      </c>
      <c r="AW180" s="9">
        <v>79</v>
      </c>
      <c r="AX180" s="9">
        <v>78</v>
      </c>
      <c r="AY180" s="9">
        <v>78</v>
      </c>
      <c r="AZ180" s="9">
        <v>80</v>
      </c>
    </row>
    <row r="181" spans="2:52">
      <c r="B181" t="str">
        <f t="shared" si="10"/>
        <v>May</v>
      </c>
      <c r="C181" s="43">
        <f t="shared" si="11"/>
        <v>46166</v>
      </c>
      <c r="D181" s="44">
        <f t="shared" si="12"/>
        <v>46160</v>
      </c>
      <c r="E181" s="9" t="s">
        <v>206</v>
      </c>
      <c r="F181">
        <f t="shared" si="13"/>
        <v>0</v>
      </c>
      <c r="G181">
        <f t="shared" si="14"/>
        <v>152</v>
      </c>
      <c r="AJ181" s="40">
        <v>46160</v>
      </c>
      <c r="AK181" s="9" t="s">
        <v>43</v>
      </c>
      <c r="AL181" s="9" t="s">
        <v>206</v>
      </c>
      <c r="AM181" s="9"/>
      <c r="AN181" s="9">
        <v>32</v>
      </c>
      <c r="AO181" s="9">
        <v>41</v>
      </c>
      <c r="AP181" s="9">
        <v>35</v>
      </c>
      <c r="AQ181" s="9">
        <v>0</v>
      </c>
      <c r="AR181" s="9">
        <v>4</v>
      </c>
      <c r="AS181" s="9">
        <v>8</v>
      </c>
      <c r="AT181" s="9">
        <v>0</v>
      </c>
      <c r="AU181" s="9">
        <v>10</v>
      </c>
      <c r="AV181" s="9">
        <v>13</v>
      </c>
      <c r="AW181" s="9">
        <v>97</v>
      </c>
      <c r="AX181" s="9">
        <v>149</v>
      </c>
      <c r="AY181" s="9">
        <v>158</v>
      </c>
      <c r="AZ181" s="9">
        <v>155</v>
      </c>
    </row>
    <row r="182" spans="2:52">
      <c r="B182" t="str">
        <f t="shared" si="10"/>
        <v>May</v>
      </c>
      <c r="C182" s="43">
        <f t="shared" si="11"/>
        <v>46166</v>
      </c>
      <c r="D182" s="44">
        <f t="shared" si="12"/>
        <v>46160</v>
      </c>
      <c r="E182" s="9" t="s">
        <v>207</v>
      </c>
      <c r="F182">
        <f t="shared" si="13"/>
        <v>0</v>
      </c>
      <c r="G182">
        <f t="shared" si="14"/>
        <v>45</v>
      </c>
      <c r="AJ182" s="40">
        <v>46160</v>
      </c>
      <c r="AK182" s="9" t="s">
        <v>203</v>
      </c>
      <c r="AL182" s="9" t="s">
        <v>207</v>
      </c>
      <c r="AM182" s="9"/>
      <c r="AN182" s="9">
        <v>6</v>
      </c>
      <c r="AO182" s="9">
        <v>14</v>
      </c>
      <c r="AP182" s="9">
        <v>15</v>
      </c>
      <c r="AQ182" s="9">
        <v>20</v>
      </c>
      <c r="AR182" s="9">
        <v>15</v>
      </c>
      <c r="AS182" s="9">
        <v>22</v>
      </c>
      <c r="AT182" s="9">
        <v>21</v>
      </c>
      <c r="AU182" s="9">
        <v>24</v>
      </c>
      <c r="AV182" s="9">
        <v>68</v>
      </c>
      <c r="AW182" s="9">
        <v>77</v>
      </c>
      <c r="AX182" s="9">
        <v>78</v>
      </c>
      <c r="AY182" s="9">
        <v>45</v>
      </c>
      <c r="AZ182" s="9">
        <v>54</v>
      </c>
    </row>
    <row r="183" spans="2:52">
      <c r="B183" t="str">
        <f t="shared" si="10"/>
        <v>May</v>
      </c>
      <c r="C183" s="43">
        <f t="shared" si="11"/>
        <v>46166</v>
      </c>
      <c r="D183" s="44">
        <f t="shared" si="12"/>
        <v>46160</v>
      </c>
      <c r="E183" s="9" t="s">
        <v>42</v>
      </c>
      <c r="F183">
        <f t="shared" si="13"/>
        <v>0</v>
      </c>
      <c r="G183">
        <f t="shared" si="14"/>
        <v>-11</v>
      </c>
      <c r="AJ183" s="40">
        <v>46160</v>
      </c>
      <c r="AK183" s="9" t="s">
        <v>42</v>
      </c>
      <c r="AL183" s="9" t="s">
        <v>42</v>
      </c>
      <c r="AM183" s="9"/>
      <c r="AN183" s="9">
        <v>0</v>
      </c>
      <c r="AO183" s="9">
        <v>0</v>
      </c>
      <c r="AP183" s="9">
        <v>8</v>
      </c>
      <c r="AQ183" s="9">
        <v>14</v>
      </c>
      <c r="AR183" s="9">
        <v>21</v>
      </c>
      <c r="AS183" s="9">
        <v>20</v>
      </c>
      <c r="AT183" s="9">
        <v>16</v>
      </c>
      <c r="AU183" s="9">
        <v>12</v>
      </c>
      <c r="AV183" s="9">
        <v>0</v>
      </c>
      <c r="AW183" s="9">
        <v>8</v>
      </c>
      <c r="AX183" s="9">
        <v>8</v>
      </c>
      <c r="AY183" s="9">
        <v>0</v>
      </c>
      <c r="AZ183" s="9">
        <v>0</v>
      </c>
    </row>
    <row r="184" spans="2:52">
      <c r="B184" t="str">
        <f t="shared" si="10"/>
        <v>May</v>
      </c>
      <c r="C184" s="43">
        <f t="shared" si="11"/>
        <v>46166</v>
      </c>
      <c r="D184" s="44">
        <f t="shared" si="12"/>
        <v>46161</v>
      </c>
      <c r="E184" s="9" t="s">
        <v>31</v>
      </c>
      <c r="F184">
        <f t="shared" si="13"/>
        <v>0</v>
      </c>
      <c r="G184">
        <f t="shared" si="14"/>
        <v>136</v>
      </c>
      <c r="AJ184" s="40">
        <v>46161</v>
      </c>
      <c r="AK184" s="9" t="s">
        <v>204</v>
      </c>
      <c r="AL184" s="9" t="s">
        <v>31</v>
      </c>
      <c r="AM184" s="9"/>
      <c r="AN184" s="9">
        <v>41</v>
      </c>
      <c r="AO184" s="9">
        <v>75</v>
      </c>
      <c r="AP184" s="9">
        <v>0</v>
      </c>
      <c r="AQ184" s="9">
        <v>73</v>
      </c>
      <c r="AR184" s="9">
        <v>0</v>
      </c>
      <c r="AS184" s="9">
        <v>0</v>
      </c>
      <c r="AT184" s="9">
        <v>0</v>
      </c>
      <c r="AU184" s="9">
        <v>0</v>
      </c>
      <c r="AV184" s="9">
        <v>79</v>
      </c>
      <c r="AW184" s="9">
        <v>88</v>
      </c>
      <c r="AX184" s="9">
        <v>87</v>
      </c>
      <c r="AY184" s="9">
        <v>151</v>
      </c>
      <c r="AZ184" s="9">
        <v>136</v>
      </c>
    </row>
    <row r="185" spans="2:52">
      <c r="B185" t="str">
        <f t="shared" si="10"/>
        <v>May</v>
      </c>
      <c r="C185" s="43">
        <f t="shared" si="11"/>
        <v>46166</v>
      </c>
      <c r="D185" s="44">
        <f t="shared" si="12"/>
        <v>46161</v>
      </c>
      <c r="E185" s="9" t="s">
        <v>39</v>
      </c>
      <c r="F185">
        <f t="shared" si="13"/>
        <v>0</v>
      </c>
      <c r="G185">
        <f t="shared" si="14"/>
        <v>-25</v>
      </c>
      <c r="AJ185" s="40">
        <v>46161</v>
      </c>
      <c r="AK185" s="9" t="s">
        <v>205</v>
      </c>
      <c r="AL185" s="9" t="s">
        <v>39</v>
      </c>
      <c r="AM185" s="9"/>
      <c r="AN185" s="9">
        <v>99</v>
      </c>
      <c r="AO185" s="9">
        <v>71</v>
      </c>
      <c r="AP185" s="9">
        <v>77</v>
      </c>
      <c r="AQ185" s="9">
        <v>100</v>
      </c>
      <c r="AR185" s="9">
        <v>106</v>
      </c>
      <c r="AS185" s="9">
        <v>105</v>
      </c>
      <c r="AT185" s="9">
        <v>106</v>
      </c>
      <c r="AU185" s="9">
        <v>121</v>
      </c>
      <c r="AV185" s="9">
        <v>134</v>
      </c>
      <c r="AW185" s="9">
        <v>144</v>
      </c>
      <c r="AX185" s="9">
        <v>136</v>
      </c>
      <c r="AY185" s="9">
        <v>142</v>
      </c>
      <c r="AZ185" s="9">
        <v>138</v>
      </c>
    </row>
    <row r="186" spans="2:52">
      <c r="B186" t="str">
        <f t="shared" si="10"/>
        <v>May</v>
      </c>
      <c r="C186" s="43">
        <f t="shared" si="11"/>
        <v>46166</v>
      </c>
      <c r="D186" s="44">
        <f t="shared" si="12"/>
        <v>46161</v>
      </c>
      <c r="E186" s="9" t="s">
        <v>40</v>
      </c>
      <c r="F186">
        <f t="shared" si="13"/>
        <v>0</v>
      </c>
      <c r="G186">
        <f t="shared" si="14"/>
        <v>-52</v>
      </c>
      <c r="AJ186" s="40">
        <v>46161</v>
      </c>
      <c r="AK186" s="9" t="s">
        <v>205</v>
      </c>
      <c r="AL186" s="9" t="s">
        <v>40</v>
      </c>
      <c r="AM186" s="9"/>
      <c r="AN186" s="9">
        <v>20</v>
      </c>
      <c r="AO186" s="9">
        <v>80</v>
      </c>
      <c r="AP186" s="9">
        <v>73</v>
      </c>
      <c r="AQ186" s="9">
        <v>213</v>
      </c>
      <c r="AR186" s="9">
        <v>208</v>
      </c>
      <c r="AS186" s="9">
        <v>199</v>
      </c>
      <c r="AT186" s="9">
        <v>202</v>
      </c>
      <c r="AU186" s="9">
        <v>240</v>
      </c>
      <c r="AV186" s="9">
        <v>0</v>
      </c>
      <c r="AW186" s="9">
        <v>0</v>
      </c>
      <c r="AX186" s="9">
        <v>41</v>
      </c>
      <c r="AY186" s="9">
        <v>37</v>
      </c>
      <c r="AZ186" s="9">
        <v>0</v>
      </c>
    </row>
    <row r="187" spans="2:52">
      <c r="B187" t="str">
        <f t="shared" si="10"/>
        <v>May</v>
      </c>
      <c r="C187" s="43">
        <f t="shared" si="11"/>
        <v>46166</v>
      </c>
      <c r="D187" s="44">
        <f t="shared" si="12"/>
        <v>46161</v>
      </c>
      <c r="E187" s="9" t="s">
        <v>41</v>
      </c>
      <c r="F187">
        <f t="shared" si="13"/>
        <v>0</v>
      </c>
      <c r="G187">
        <f t="shared" si="14"/>
        <v>56</v>
      </c>
      <c r="AJ187" s="40">
        <v>46161</v>
      </c>
      <c r="AK187" s="9" t="s">
        <v>41</v>
      </c>
      <c r="AL187" s="9" t="s">
        <v>41</v>
      </c>
      <c r="AM187" s="9"/>
      <c r="AN187" s="9">
        <v>0</v>
      </c>
      <c r="AO187" s="9">
        <v>0</v>
      </c>
      <c r="AP187" s="9">
        <v>0</v>
      </c>
      <c r="AQ187" s="9">
        <v>34</v>
      </c>
      <c r="AR187" s="9">
        <v>31</v>
      </c>
      <c r="AS187" s="9">
        <v>55</v>
      </c>
      <c r="AT187" s="9">
        <v>57</v>
      </c>
      <c r="AU187" s="9">
        <v>58</v>
      </c>
      <c r="AV187" s="9">
        <v>105</v>
      </c>
      <c r="AW187" s="9">
        <v>0</v>
      </c>
      <c r="AX187" s="9">
        <v>60</v>
      </c>
      <c r="AY187" s="9">
        <v>62</v>
      </c>
      <c r="AZ187" s="9">
        <v>66</v>
      </c>
    </row>
    <row r="188" spans="2:52">
      <c r="B188" t="str">
        <f t="shared" si="10"/>
        <v>May</v>
      </c>
      <c r="C188" s="43">
        <f t="shared" si="11"/>
        <v>46166</v>
      </c>
      <c r="D188" s="44">
        <f t="shared" si="12"/>
        <v>46161</v>
      </c>
      <c r="E188" s="9" t="s">
        <v>45</v>
      </c>
      <c r="F188">
        <f t="shared" si="13"/>
        <v>0</v>
      </c>
      <c r="G188">
        <f t="shared" si="14"/>
        <v>4</v>
      </c>
      <c r="AJ188" s="40">
        <v>46161</v>
      </c>
      <c r="AK188" s="9" t="s">
        <v>202</v>
      </c>
      <c r="AL188" s="9" t="s">
        <v>45</v>
      </c>
      <c r="AM188" s="9"/>
      <c r="AN188" s="9">
        <v>32</v>
      </c>
      <c r="AO188" s="9">
        <v>34</v>
      </c>
      <c r="AP188" s="9">
        <v>0</v>
      </c>
      <c r="AQ188" s="9">
        <v>0</v>
      </c>
      <c r="AR188" s="9">
        <v>0</v>
      </c>
      <c r="AS188" s="9">
        <v>0</v>
      </c>
      <c r="AT188" s="9">
        <v>8</v>
      </c>
      <c r="AU188" s="9">
        <v>0</v>
      </c>
      <c r="AV188" s="9">
        <v>0</v>
      </c>
      <c r="AW188" s="9">
        <v>0</v>
      </c>
      <c r="AX188" s="9">
        <v>23</v>
      </c>
      <c r="AY188" s="9">
        <v>17</v>
      </c>
      <c r="AZ188" s="9">
        <v>23</v>
      </c>
    </row>
    <row r="189" spans="2:52">
      <c r="B189" t="str">
        <f t="shared" si="10"/>
        <v>May</v>
      </c>
      <c r="C189" s="43">
        <f t="shared" si="11"/>
        <v>46166</v>
      </c>
      <c r="D189" s="44">
        <f t="shared" si="12"/>
        <v>46161</v>
      </c>
      <c r="E189" s="9" t="s">
        <v>46</v>
      </c>
      <c r="F189">
        <f t="shared" si="13"/>
        <v>0</v>
      </c>
      <c r="G189">
        <f t="shared" si="14"/>
        <v>-41</v>
      </c>
      <c r="AJ189" s="40">
        <v>46161</v>
      </c>
      <c r="AK189" s="9" t="s">
        <v>202</v>
      </c>
      <c r="AL189" s="9" t="s">
        <v>46</v>
      </c>
      <c r="AM189" s="9"/>
      <c r="AN189" s="9">
        <v>12</v>
      </c>
      <c r="AO189" s="9">
        <v>9</v>
      </c>
      <c r="AP189" s="9">
        <v>13</v>
      </c>
      <c r="AQ189" s="9">
        <v>9</v>
      </c>
      <c r="AR189" s="9">
        <v>8</v>
      </c>
      <c r="AS189" s="9">
        <v>5</v>
      </c>
      <c r="AT189" s="9">
        <v>2</v>
      </c>
      <c r="AU189" s="9">
        <v>2</v>
      </c>
      <c r="AV189" s="9">
        <v>2</v>
      </c>
      <c r="AW189" s="9">
        <v>0</v>
      </c>
      <c r="AX189" s="9">
        <v>0</v>
      </c>
      <c r="AY189" s="9">
        <v>0</v>
      </c>
      <c r="AZ189" s="9">
        <v>0</v>
      </c>
    </row>
    <row r="190" spans="2:52">
      <c r="B190" t="str">
        <f t="shared" si="10"/>
        <v>May</v>
      </c>
      <c r="C190" s="43">
        <f t="shared" si="11"/>
        <v>46166</v>
      </c>
      <c r="D190" s="44">
        <f t="shared" si="12"/>
        <v>46161</v>
      </c>
      <c r="E190" s="9" t="s">
        <v>47</v>
      </c>
      <c r="F190">
        <f t="shared" si="13"/>
        <v>0</v>
      </c>
      <c r="G190">
        <f t="shared" si="14"/>
        <v>-77</v>
      </c>
      <c r="AJ190" s="40">
        <v>46161</v>
      </c>
      <c r="AK190" s="9" t="s">
        <v>202</v>
      </c>
      <c r="AL190" s="9" t="s">
        <v>47</v>
      </c>
      <c r="AM190" s="9"/>
      <c r="AN190" s="9">
        <v>0</v>
      </c>
      <c r="AO190" s="9">
        <v>0</v>
      </c>
      <c r="AP190" s="9">
        <v>0</v>
      </c>
      <c r="AQ190" s="9">
        <v>0</v>
      </c>
      <c r="AR190" s="9">
        <v>3</v>
      </c>
      <c r="AS190" s="9">
        <v>2</v>
      </c>
      <c r="AT190" s="9">
        <v>0</v>
      </c>
      <c r="AU190" s="9">
        <v>0</v>
      </c>
      <c r="AV190" s="9">
        <v>0</v>
      </c>
      <c r="AW190" s="9">
        <v>14</v>
      </c>
      <c r="AX190" s="9">
        <v>18</v>
      </c>
      <c r="AY190" s="9">
        <v>0</v>
      </c>
      <c r="AZ190" s="9">
        <v>3</v>
      </c>
    </row>
    <row r="191" spans="2:52">
      <c r="B191" t="str">
        <f t="shared" si="10"/>
        <v>May</v>
      </c>
      <c r="C191" s="43">
        <f t="shared" si="11"/>
        <v>46166</v>
      </c>
      <c r="D191" s="44">
        <f t="shared" si="12"/>
        <v>46161</v>
      </c>
      <c r="E191" s="9" t="s">
        <v>206</v>
      </c>
      <c r="F191">
        <f t="shared" si="13"/>
        <v>0</v>
      </c>
      <c r="G191">
        <f t="shared" si="14"/>
        <v>-99</v>
      </c>
      <c r="AJ191" s="40">
        <v>46161</v>
      </c>
      <c r="AK191" s="9" t="s">
        <v>43</v>
      </c>
      <c r="AL191" s="9" t="s">
        <v>206</v>
      </c>
      <c r="AM191" s="9"/>
      <c r="AN191" s="9">
        <v>13</v>
      </c>
      <c r="AO191" s="9">
        <v>14</v>
      </c>
      <c r="AP191" s="9">
        <v>9</v>
      </c>
      <c r="AQ191" s="9">
        <v>4</v>
      </c>
      <c r="AR191" s="9">
        <v>3</v>
      </c>
      <c r="AS191" s="9">
        <v>0</v>
      </c>
      <c r="AT191" s="9">
        <v>22</v>
      </c>
      <c r="AU191" s="9">
        <v>22</v>
      </c>
      <c r="AV191" s="9">
        <v>54</v>
      </c>
      <c r="AW191" s="9">
        <v>50</v>
      </c>
      <c r="AX191" s="9">
        <v>50</v>
      </c>
      <c r="AY191" s="9">
        <v>52</v>
      </c>
      <c r="AZ191" s="9">
        <v>56</v>
      </c>
    </row>
    <row r="192" spans="2:52">
      <c r="B192" t="str">
        <f t="shared" si="10"/>
        <v>May</v>
      </c>
      <c r="C192" s="43">
        <f t="shared" si="11"/>
        <v>46166</v>
      </c>
      <c r="D192" s="44">
        <f t="shared" si="12"/>
        <v>46161</v>
      </c>
      <c r="E192" s="9" t="s">
        <v>207</v>
      </c>
      <c r="F192">
        <f t="shared" si="13"/>
        <v>0</v>
      </c>
      <c r="G192">
        <f t="shared" si="14"/>
        <v>-21</v>
      </c>
      <c r="AJ192" s="40">
        <v>46161</v>
      </c>
      <c r="AK192" s="9" t="s">
        <v>203</v>
      </c>
      <c r="AL192" s="9" t="s">
        <v>207</v>
      </c>
      <c r="AM192" s="9"/>
      <c r="AN192" s="9">
        <v>63</v>
      </c>
      <c r="AO192" s="9">
        <v>113</v>
      </c>
      <c r="AP192" s="9">
        <v>119</v>
      </c>
      <c r="AQ192" s="9">
        <v>127</v>
      </c>
      <c r="AR192" s="9">
        <v>0</v>
      </c>
      <c r="AS192" s="9">
        <v>14</v>
      </c>
      <c r="AT192" s="9">
        <v>22</v>
      </c>
      <c r="AU192" s="9">
        <v>0</v>
      </c>
      <c r="AV192" s="9">
        <v>12</v>
      </c>
      <c r="AW192" s="9">
        <v>7</v>
      </c>
      <c r="AX192" s="9">
        <v>15</v>
      </c>
      <c r="AY192" s="9">
        <v>27</v>
      </c>
      <c r="AZ192" s="9">
        <v>33</v>
      </c>
    </row>
    <row r="193" spans="2:52">
      <c r="B193" t="str">
        <f t="shared" si="10"/>
        <v>May</v>
      </c>
      <c r="C193" s="43">
        <f t="shared" si="11"/>
        <v>46166</v>
      </c>
      <c r="D193" s="44">
        <f t="shared" si="12"/>
        <v>46161</v>
      </c>
      <c r="E193" s="9" t="s">
        <v>42</v>
      </c>
      <c r="F193">
        <f t="shared" si="13"/>
        <v>0</v>
      </c>
      <c r="G193">
        <f t="shared" si="14"/>
        <v>104</v>
      </c>
      <c r="AJ193" s="40">
        <v>46161</v>
      </c>
      <c r="AK193" s="9" t="s">
        <v>42</v>
      </c>
      <c r="AL193" s="9" t="s">
        <v>42</v>
      </c>
      <c r="AM193" s="9"/>
      <c r="AN193" s="9">
        <v>105</v>
      </c>
      <c r="AO193" s="9">
        <v>108</v>
      </c>
      <c r="AP193" s="9">
        <v>112</v>
      </c>
      <c r="AQ193" s="9">
        <v>111</v>
      </c>
      <c r="AR193" s="9">
        <v>111</v>
      </c>
      <c r="AS193" s="9">
        <v>105</v>
      </c>
      <c r="AT193" s="9">
        <v>109</v>
      </c>
      <c r="AU193" s="9">
        <v>114</v>
      </c>
      <c r="AV193" s="9">
        <v>118</v>
      </c>
      <c r="AW193" s="9">
        <v>125</v>
      </c>
      <c r="AX193" s="9">
        <v>122</v>
      </c>
      <c r="AY193" s="9">
        <v>125</v>
      </c>
      <c r="AZ193" s="9">
        <v>104</v>
      </c>
    </row>
    <row r="194" spans="2:52">
      <c r="B194" t="str">
        <f t="shared" si="10"/>
        <v>May</v>
      </c>
      <c r="C194" s="43">
        <f t="shared" si="11"/>
        <v>46166</v>
      </c>
      <c r="D194" s="44">
        <f t="shared" si="12"/>
        <v>46162</v>
      </c>
      <c r="E194" s="9" t="s">
        <v>31</v>
      </c>
      <c r="F194">
        <f t="shared" si="13"/>
        <v>0</v>
      </c>
      <c r="G194">
        <f t="shared" si="14"/>
        <v>-136</v>
      </c>
      <c r="AJ194" s="40">
        <v>46162</v>
      </c>
      <c r="AK194" s="9" t="s">
        <v>204</v>
      </c>
      <c r="AL194" s="9" t="s">
        <v>31</v>
      </c>
      <c r="AM194" s="9"/>
      <c r="AN194" s="9">
        <v>102</v>
      </c>
      <c r="AO194" s="9">
        <v>87</v>
      </c>
      <c r="AP194" s="9">
        <v>73</v>
      </c>
      <c r="AQ194" s="9">
        <v>76</v>
      </c>
      <c r="AR194" s="9">
        <v>63</v>
      </c>
      <c r="AS194" s="9">
        <v>73</v>
      </c>
      <c r="AT194" s="9">
        <v>66</v>
      </c>
      <c r="AU194" s="9">
        <v>86</v>
      </c>
      <c r="AV194" s="9">
        <v>45</v>
      </c>
      <c r="AW194" s="9">
        <v>39</v>
      </c>
      <c r="AX194" s="9">
        <v>36</v>
      </c>
      <c r="AY194" s="9">
        <v>0</v>
      </c>
      <c r="AZ194" s="9">
        <v>0</v>
      </c>
    </row>
    <row r="195" spans="2:52">
      <c r="B195" t="str">
        <f t="shared" si="10"/>
        <v>May</v>
      </c>
      <c r="C195" s="43">
        <f t="shared" si="11"/>
        <v>46166</v>
      </c>
      <c r="D195" s="44">
        <f t="shared" si="12"/>
        <v>46162</v>
      </c>
      <c r="E195" s="9" t="s">
        <v>39</v>
      </c>
      <c r="F195">
        <f t="shared" si="13"/>
        <v>0</v>
      </c>
      <c r="G195">
        <f t="shared" si="14"/>
        <v>-120</v>
      </c>
      <c r="AJ195" s="40">
        <v>46162</v>
      </c>
      <c r="AK195" s="9" t="s">
        <v>205</v>
      </c>
      <c r="AL195" s="9" t="s">
        <v>39</v>
      </c>
      <c r="AM195" s="9"/>
      <c r="AN195" s="9">
        <v>58</v>
      </c>
      <c r="AO195" s="9">
        <v>51</v>
      </c>
      <c r="AP195" s="9">
        <v>40</v>
      </c>
      <c r="AQ195" s="9">
        <v>0</v>
      </c>
      <c r="AR195" s="9">
        <v>0</v>
      </c>
      <c r="AS195" s="9">
        <v>8</v>
      </c>
      <c r="AT195" s="9">
        <v>0</v>
      </c>
      <c r="AU195" s="9">
        <v>0</v>
      </c>
      <c r="AV195" s="9">
        <v>8</v>
      </c>
      <c r="AW195" s="9">
        <v>5</v>
      </c>
      <c r="AX195" s="9">
        <v>0</v>
      </c>
      <c r="AY195" s="9">
        <v>4</v>
      </c>
      <c r="AZ195" s="9">
        <v>18</v>
      </c>
    </row>
    <row r="196" spans="2:52">
      <c r="B196" t="str">
        <f t="shared" si="10"/>
        <v>May</v>
      </c>
      <c r="C196" s="43">
        <f t="shared" si="11"/>
        <v>46166</v>
      </c>
      <c r="D196" s="44">
        <f t="shared" si="12"/>
        <v>46162</v>
      </c>
      <c r="E196" s="9" t="s">
        <v>40</v>
      </c>
      <c r="F196">
        <f t="shared" si="13"/>
        <v>0</v>
      </c>
      <c r="G196">
        <f t="shared" si="14"/>
        <v>84</v>
      </c>
      <c r="AJ196" s="40">
        <v>46162</v>
      </c>
      <c r="AK196" s="9" t="s">
        <v>205</v>
      </c>
      <c r="AL196" s="9" t="s">
        <v>40</v>
      </c>
      <c r="AM196" s="9"/>
      <c r="AN196" s="9">
        <v>49</v>
      </c>
      <c r="AO196" s="9">
        <v>46</v>
      </c>
      <c r="AP196" s="9">
        <v>41</v>
      </c>
      <c r="AQ196" s="9">
        <v>37</v>
      </c>
      <c r="AR196" s="9">
        <v>29</v>
      </c>
      <c r="AS196" s="9">
        <v>38</v>
      </c>
      <c r="AT196" s="9">
        <v>37</v>
      </c>
      <c r="AU196" s="9">
        <v>41</v>
      </c>
      <c r="AV196" s="9">
        <v>45</v>
      </c>
      <c r="AW196" s="9">
        <v>59</v>
      </c>
      <c r="AX196" s="9">
        <v>57</v>
      </c>
      <c r="AY196" s="9">
        <v>88</v>
      </c>
      <c r="AZ196" s="9">
        <v>84</v>
      </c>
    </row>
    <row r="197" spans="2:52">
      <c r="B197" t="str">
        <f t="shared" ref="B197:B260" si="15">TEXT(C197,"MMM")</f>
        <v>May</v>
      </c>
      <c r="C197" s="43">
        <f t="shared" ref="C197:C260" si="16">AJ197+(8-WEEKDAY(AJ197))</f>
        <v>46166</v>
      </c>
      <c r="D197" s="44">
        <f t="shared" ref="D197:D260" si="17">AJ197</f>
        <v>46162</v>
      </c>
      <c r="E197" s="9" t="s">
        <v>41</v>
      </c>
      <c r="F197">
        <f t="shared" ref="F197:F260" si="18">IF(SUM(V197:AI197)&lt;=0,0,SUM(V197:AI197))</f>
        <v>0</v>
      </c>
      <c r="G197">
        <f t="shared" si="14"/>
        <v>-66</v>
      </c>
      <c r="AJ197" s="40">
        <v>46162</v>
      </c>
      <c r="AK197" s="9" t="s">
        <v>41</v>
      </c>
      <c r="AL197" s="9" t="s">
        <v>41</v>
      </c>
      <c r="AM197" s="9"/>
      <c r="AN197" s="9">
        <v>1</v>
      </c>
      <c r="AO197" s="9">
        <v>0</v>
      </c>
      <c r="AP197" s="9">
        <v>4</v>
      </c>
      <c r="AQ197" s="9">
        <v>8</v>
      </c>
      <c r="AR197" s="9">
        <v>10</v>
      </c>
      <c r="AS197" s="9">
        <v>6</v>
      </c>
      <c r="AT197" s="9">
        <v>2</v>
      </c>
      <c r="AU197" s="9">
        <v>1</v>
      </c>
      <c r="AV197" s="9">
        <v>3</v>
      </c>
      <c r="AW197" s="9">
        <v>0</v>
      </c>
      <c r="AX197" s="9">
        <v>11</v>
      </c>
      <c r="AY197" s="9">
        <v>63</v>
      </c>
      <c r="AZ197" s="9">
        <v>0</v>
      </c>
    </row>
    <row r="198" spans="2:52">
      <c r="B198" t="str">
        <f t="shared" si="15"/>
        <v>May</v>
      </c>
      <c r="C198" s="43">
        <f t="shared" si="16"/>
        <v>46166</v>
      </c>
      <c r="D198" s="44">
        <f t="shared" si="17"/>
        <v>46162</v>
      </c>
      <c r="E198" s="9" t="s">
        <v>45</v>
      </c>
      <c r="F198">
        <f t="shared" si="18"/>
        <v>0</v>
      </c>
      <c r="G198">
        <f t="shared" si="14"/>
        <v>202</v>
      </c>
      <c r="AJ198" s="40">
        <v>46162</v>
      </c>
      <c r="AK198" s="9" t="s">
        <v>202</v>
      </c>
      <c r="AL198" s="9" t="s">
        <v>45</v>
      </c>
      <c r="AM198" s="9"/>
      <c r="AN198" s="9">
        <v>70</v>
      </c>
      <c r="AO198" s="9">
        <v>67</v>
      </c>
      <c r="AP198" s="9">
        <v>62</v>
      </c>
      <c r="AQ198" s="9">
        <v>190</v>
      </c>
      <c r="AR198" s="9">
        <v>192</v>
      </c>
      <c r="AS198" s="9">
        <v>200</v>
      </c>
      <c r="AT198" s="9">
        <v>199</v>
      </c>
      <c r="AU198" s="9">
        <v>203</v>
      </c>
      <c r="AV198" s="9">
        <v>240</v>
      </c>
      <c r="AW198" s="9">
        <v>240</v>
      </c>
      <c r="AX198" s="9">
        <v>235</v>
      </c>
      <c r="AY198" s="9">
        <v>232</v>
      </c>
      <c r="AZ198" s="9">
        <v>225</v>
      </c>
    </row>
    <row r="199" spans="2:52">
      <c r="B199" t="str">
        <f t="shared" si="15"/>
        <v>May</v>
      </c>
      <c r="C199" s="43">
        <f t="shared" si="16"/>
        <v>46166</v>
      </c>
      <c r="D199" s="44">
        <f t="shared" si="17"/>
        <v>46162</v>
      </c>
      <c r="E199" s="9" t="s">
        <v>46</v>
      </c>
      <c r="F199">
        <f t="shared" si="18"/>
        <v>0</v>
      </c>
      <c r="G199">
        <f t="shared" si="14"/>
        <v>0</v>
      </c>
      <c r="AJ199" s="40">
        <v>46162</v>
      </c>
      <c r="AK199" s="9" t="s">
        <v>202</v>
      </c>
      <c r="AL199" s="9" t="s">
        <v>46</v>
      </c>
      <c r="AM199" s="9"/>
      <c r="AN199" s="9">
        <v>6</v>
      </c>
      <c r="AO199" s="9">
        <v>8</v>
      </c>
      <c r="AP199" s="9">
        <v>13</v>
      </c>
      <c r="AQ199" s="9">
        <v>16</v>
      </c>
      <c r="AR199" s="9">
        <v>13</v>
      </c>
      <c r="AS199" s="9">
        <v>0</v>
      </c>
      <c r="AT199" s="9">
        <v>6</v>
      </c>
      <c r="AU199" s="9">
        <v>10</v>
      </c>
      <c r="AV199" s="9">
        <v>14</v>
      </c>
      <c r="AW199" s="9">
        <v>17</v>
      </c>
      <c r="AX199" s="9">
        <v>14</v>
      </c>
      <c r="AY199" s="9">
        <v>15</v>
      </c>
      <c r="AZ199" s="9">
        <v>0</v>
      </c>
    </row>
    <row r="200" spans="2:52">
      <c r="B200" t="str">
        <f t="shared" si="15"/>
        <v>May</v>
      </c>
      <c r="C200" s="43">
        <f t="shared" si="16"/>
        <v>46166</v>
      </c>
      <c r="D200" s="44">
        <f t="shared" si="17"/>
        <v>46162</v>
      </c>
      <c r="E200" s="9" t="s">
        <v>47</v>
      </c>
      <c r="F200">
        <f t="shared" si="18"/>
        <v>0</v>
      </c>
      <c r="G200">
        <f t="shared" si="14"/>
        <v>-3</v>
      </c>
      <c r="AJ200" s="40">
        <v>46162</v>
      </c>
      <c r="AK200" s="9" t="s">
        <v>202</v>
      </c>
      <c r="AL200" s="9" t="s">
        <v>47</v>
      </c>
      <c r="AM200" s="9"/>
      <c r="AN200" s="9">
        <v>197</v>
      </c>
      <c r="AO200" s="9">
        <v>194</v>
      </c>
      <c r="AP200" s="9">
        <v>240</v>
      </c>
      <c r="AQ200" s="9">
        <v>236</v>
      </c>
      <c r="AR200" s="9">
        <v>237</v>
      </c>
      <c r="AS200" s="9">
        <v>239</v>
      </c>
      <c r="AT200" s="9">
        <v>240</v>
      </c>
      <c r="AU200" s="9">
        <v>239</v>
      </c>
      <c r="AV200" s="9">
        <v>237</v>
      </c>
      <c r="AW200" s="9">
        <v>233</v>
      </c>
      <c r="AX200" s="9">
        <v>0</v>
      </c>
      <c r="AY200" s="9">
        <v>0</v>
      </c>
      <c r="AZ200" s="9">
        <v>0</v>
      </c>
    </row>
    <row r="201" spans="2:52">
      <c r="B201" t="str">
        <f t="shared" si="15"/>
        <v>May</v>
      </c>
      <c r="C201" s="43">
        <f t="shared" si="16"/>
        <v>46166</v>
      </c>
      <c r="D201" s="44">
        <f t="shared" si="17"/>
        <v>46162</v>
      </c>
      <c r="E201" s="9" t="s">
        <v>206</v>
      </c>
      <c r="F201">
        <f t="shared" si="18"/>
        <v>0</v>
      </c>
      <c r="G201">
        <f t="shared" si="14"/>
        <v>-37</v>
      </c>
      <c r="AJ201" s="40">
        <v>46162</v>
      </c>
      <c r="AK201" s="9" t="s">
        <v>43</v>
      </c>
      <c r="AL201" s="9" t="s">
        <v>206</v>
      </c>
      <c r="AM201" s="9"/>
      <c r="AN201" s="9">
        <v>21</v>
      </c>
      <c r="AO201" s="9">
        <v>17</v>
      </c>
      <c r="AP201" s="9">
        <v>26</v>
      </c>
      <c r="AQ201" s="9">
        <v>33</v>
      </c>
      <c r="AR201" s="9">
        <v>36</v>
      </c>
      <c r="AS201" s="9">
        <v>20</v>
      </c>
      <c r="AT201" s="9">
        <v>25</v>
      </c>
      <c r="AU201" s="9">
        <v>23</v>
      </c>
      <c r="AV201" s="9">
        <v>20</v>
      </c>
      <c r="AW201" s="9">
        <v>0</v>
      </c>
      <c r="AX201" s="9">
        <v>8</v>
      </c>
      <c r="AY201" s="9">
        <v>13</v>
      </c>
      <c r="AZ201" s="9">
        <v>19</v>
      </c>
    </row>
    <row r="202" spans="2:52">
      <c r="B202" t="str">
        <f t="shared" si="15"/>
        <v>May</v>
      </c>
      <c r="C202" s="43">
        <f t="shared" si="16"/>
        <v>46166</v>
      </c>
      <c r="D202" s="44">
        <f t="shared" si="17"/>
        <v>46162</v>
      </c>
      <c r="E202" s="9" t="s">
        <v>207</v>
      </c>
      <c r="F202">
        <f t="shared" si="18"/>
        <v>0</v>
      </c>
      <c r="G202">
        <f t="shared" si="14"/>
        <v>115</v>
      </c>
      <c r="AJ202" s="40">
        <v>46162</v>
      </c>
      <c r="AK202" s="9" t="s">
        <v>203</v>
      </c>
      <c r="AL202" s="9" t="s">
        <v>207</v>
      </c>
      <c r="AM202" s="9"/>
      <c r="AN202" s="9">
        <v>17</v>
      </c>
      <c r="AO202" s="9">
        <v>74</v>
      </c>
      <c r="AP202" s="9">
        <v>60</v>
      </c>
      <c r="AQ202" s="9">
        <v>60</v>
      </c>
      <c r="AR202" s="9">
        <v>60</v>
      </c>
      <c r="AS202" s="9">
        <v>60</v>
      </c>
      <c r="AT202" s="9">
        <v>108</v>
      </c>
      <c r="AU202" s="9">
        <v>110</v>
      </c>
      <c r="AV202" s="9">
        <v>145</v>
      </c>
      <c r="AW202" s="9">
        <v>147</v>
      </c>
      <c r="AX202" s="9">
        <v>140</v>
      </c>
      <c r="AY202" s="9">
        <v>142</v>
      </c>
      <c r="AZ202" s="9">
        <v>148</v>
      </c>
    </row>
    <row r="203" spans="2:52">
      <c r="B203" t="str">
        <f t="shared" si="15"/>
        <v>May</v>
      </c>
      <c r="C203" s="43">
        <f t="shared" si="16"/>
        <v>46166</v>
      </c>
      <c r="D203" s="44">
        <f t="shared" si="17"/>
        <v>46162</v>
      </c>
      <c r="E203" s="9" t="s">
        <v>42</v>
      </c>
      <c r="F203">
        <f t="shared" si="18"/>
        <v>0</v>
      </c>
      <c r="G203">
        <f t="shared" si="14"/>
        <v>136</v>
      </c>
      <c r="AJ203" s="40">
        <v>46162</v>
      </c>
      <c r="AK203" s="9" t="s">
        <v>42</v>
      </c>
      <c r="AL203" s="9" t="s">
        <v>42</v>
      </c>
      <c r="AM203" s="9"/>
      <c r="AN203" s="9">
        <v>45</v>
      </c>
      <c r="AO203" s="9">
        <v>0</v>
      </c>
      <c r="AP203" s="9">
        <v>2</v>
      </c>
      <c r="AQ203" s="9">
        <v>0</v>
      </c>
      <c r="AR203" s="9">
        <v>24</v>
      </c>
      <c r="AS203" s="9">
        <v>20</v>
      </c>
      <c r="AT203" s="9">
        <v>75</v>
      </c>
      <c r="AU203" s="9">
        <v>240</v>
      </c>
      <c r="AV203" s="9">
        <v>235</v>
      </c>
      <c r="AW203" s="9">
        <v>235</v>
      </c>
      <c r="AX203" s="9">
        <v>240</v>
      </c>
      <c r="AY203" s="9">
        <v>235</v>
      </c>
      <c r="AZ203" s="9">
        <v>240</v>
      </c>
    </row>
    <row r="204" spans="2:52">
      <c r="B204" t="str">
        <f t="shared" si="15"/>
        <v>May</v>
      </c>
      <c r="C204" s="43">
        <f t="shared" si="16"/>
        <v>46166</v>
      </c>
      <c r="D204" s="44">
        <f t="shared" si="17"/>
        <v>46163</v>
      </c>
      <c r="E204" s="9" t="s">
        <v>31</v>
      </c>
      <c r="F204">
        <f t="shared" si="18"/>
        <v>0</v>
      </c>
      <c r="G204">
        <f t="shared" si="14"/>
        <v>67</v>
      </c>
      <c r="AJ204" s="40">
        <v>46163</v>
      </c>
      <c r="AK204" s="9" t="s">
        <v>204</v>
      </c>
      <c r="AL204" s="9" t="s">
        <v>31</v>
      </c>
      <c r="AM204" s="9"/>
      <c r="AN204" s="9">
        <v>133</v>
      </c>
      <c r="AO204" s="9">
        <v>197</v>
      </c>
      <c r="AP204" s="9">
        <v>200</v>
      </c>
      <c r="AQ204" s="9">
        <v>0</v>
      </c>
      <c r="AR204" s="9">
        <v>22</v>
      </c>
      <c r="AS204" s="9">
        <v>14</v>
      </c>
      <c r="AT204" s="9">
        <v>0</v>
      </c>
      <c r="AU204" s="9">
        <v>37</v>
      </c>
      <c r="AV204" s="9">
        <v>53</v>
      </c>
      <c r="AW204" s="9">
        <v>69</v>
      </c>
      <c r="AX204" s="9">
        <v>67</v>
      </c>
      <c r="AY204" s="9">
        <v>49</v>
      </c>
      <c r="AZ204" s="9">
        <v>67</v>
      </c>
    </row>
    <row r="205" spans="2:52">
      <c r="B205" t="str">
        <f t="shared" si="15"/>
        <v>May</v>
      </c>
      <c r="C205" s="43">
        <f t="shared" si="16"/>
        <v>46166</v>
      </c>
      <c r="D205" s="44">
        <f t="shared" si="17"/>
        <v>46163</v>
      </c>
      <c r="E205" s="9" t="s">
        <v>39</v>
      </c>
      <c r="F205">
        <f t="shared" si="18"/>
        <v>0</v>
      </c>
      <c r="G205">
        <f t="shared" si="14"/>
        <v>78</v>
      </c>
      <c r="AJ205" s="40">
        <v>46163</v>
      </c>
      <c r="AK205" s="9" t="s">
        <v>205</v>
      </c>
      <c r="AL205" s="9" t="s">
        <v>39</v>
      </c>
      <c r="AM205" s="9"/>
      <c r="AN205" s="9">
        <v>93</v>
      </c>
      <c r="AO205" s="9">
        <v>0</v>
      </c>
      <c r="AP205" s="9">
        <v>0</v>
      </c>
      <c r="AQ205" s="9">
        <v>0</v>
      </c>
      <c r="AR205" s="9">
        <v>12</v>
      </c>
      <c r="AS205" s="9">
        <v>11</v>
      </c>
      <c r="AT205" s="9">
        <v>0</v>
      </c>
      <c r="AU205" s="9">
        <v>58</v>
      </c>
      <c r="AV205" s="9">
        <v>12</v>
      </c>
      <c r="AW205" s="9">
        <v>35</v>
      </c>
      <c r="AX205" s="9">
        <v>43</v>
      </c>
      <c r="AY205" s="9">
        <v>106</v>
      </c>
      <c r="AZ205" s="9">
        <v>96</v>
      </c>
    </row>
    <row r="206" spans="2:52">
      <c r="B206" t="str">
        <f t="shared" si="15"/>
        <v>May</v>
      </c>
      <c r="C206" s="43">
        <f t="shared" si="16"/>
        <v>46166</v>
      </c>
      <c r="D206" s="44">
        <f t="shared" si="17"/>
        <v>46163</v>
      </c>
      <c r="E206" s="9" t="s">
        <v>40</v>
      </c>
      <c r="F206">
        <f t="shared" si="18"/>
        <v>0</v>
      </c>
      <c r="G206">
        <f t="shared" si="14"/>
        <v>-46</v>
      </c>
      <c r="AJ206" s="40">
        <v>46163</v>
      </c>
      <c r="AK206" s="9" t="s">
        <v>205</v>
      </c>
      <c r="AL206" s="9" t="s">
        <v>40</v>
      </c>
      <c r="AM206" s="9"/>
      <c r="AN206" s="9">
        <v>38</v>
      </c>
      <c r="AO206" s="9">
        <v>38</v>
      </c>
      <c r="AP206" s="9">
        <v>0</v>
      </c>
      <c r="AQ206" s="9">
        <v>0</v>
      </c>
      <c r="AR206" s="9">
        <v>13</v>
      </c>
      <c r="AS206" s="9">
        <v>8</v>
      </c>
      <c r="AT206" s="9">
        <v>0</v>
      </c>
      <c r="AU206" s="9">
        <v>27</v>
      </c>
      <c r="AV206" s="9">
        <v>18</v>
      </c>
      <c r="AW206" s="9">
        <v>28</v>
      </c>
      <c r="AX206" s="9">
        <v>0</v>
      </c>
      <c r="AY206" s="9">
        <v>0</v>
      </c>
      <c r="AZ206" s="9">
        <v>38</v>
      </c>
    </row>
    <row r="207" spans="2:52">
      <c r="B207" t="str">
        <f t="shared" si="15"/>
        <v>May</v>
      </c>
      <c r="C207" s="43">
        <f t="shared" si="16"/>
        <v>46166</v>
      </c>
      <c r="D207" s="44">
        <f t="shared" si="17"/>
        <v>46163</v>
      </c>
      <c r="E207" s="9" t="s">
        <v>41</v>
      </c>
      <c r="F207">
        <f t="shared" si="18"/>
        <v>0</v>
      </c>
      <c r="G207">
        <f t="shared" ref="G207:G270" si="19">SUM(H207:U207)+AZ207-AZ197</f>
        <v>15</v>
      </c>
      <c r="AJ207" s="40">
        <v>46163</v>
      </c>
      <c r="AK207" s="9" t="s">
        <v>41</v>
      </c>
      <c r="AL207" s="9" t="s">
        <v>41</v>
      </c>
      <c r="AM207" s="9"/>
      <c r="AN207" s="9">
        <v>0</v>
      </c>
      <c r="AO207" s="9">
        <v>14</v>
      </c>
      <c r="AP207" s="9">
        <v>13</v>
      </c>
      <c r="AQ207" s="9">
        <v>16</v>
      </c>
      <c r="AR207" s="9">
        <v>18</v>
      </c>
      <c r="AS207" s="9">
        <v>0</v>
      </c>
      <c r="AT207" s="9">
        <v>12</v>
      </c>
      <c r="AU207" s="9">
        <v>14</v>
      </c>
      <c r="AV207" s="9">
        <v>19</v>
      </c>
      <c r="AW207" s="9">
        <v>16</v>
      </c>
      <c r="AX207" s="9">
        <v>18</v>
      </c>
      <c r="AY207" s="9">
        <v>14</v>
      </c>
      <c r="AZ207" s="9">
        <v>15</v>
      </c>
    </row>
    <row r="208" spans="2:52">
      <c r="B208" t="str">
        <f t="shared" si="15"/>
        <v>May</v>
      </c>
      <c r="C208" s="43">
        <f t="shared" si="16"/>
        <v>46166</v>
      </c>
      <c r="D208" s="44">
        <f t="shared" si="17"/>
        <v>46163</v>
      </c>
      <c r="E208" s="9" t="s">
        <v>45</v>
      </c>
      <c r="F208">
        <f t="shared" si="18"/>
        <v>0</v>
      </c>
      <c r="G208">
        <f t="shared" si="19"/>
        <v>-167</v>
      </c>
      <c r="AJ208" s="40">
        <v>46163</v>
      </c>
      <c r="AK208" s="9" t="s">
        <v>202</v>
      </c>
      <c r="AL208" s="9" t="s">
        <v>45</v>
      </c>
      <c r="AM208" s="9"/>
      <c r="AN208" s="9">
        <v>41</v>
      </c>
      <c r="AO208" s="9">
        <v>5</v>
      </c>
      <c r="AP208" s="9">
        <v>0</v>
      </c>
      <c r="AQ208" s="9">
        <v>0</v>
      </c>
      <c r="AR208" s="9">
        <v>0</v>
      </c>
      <c r="AS208" s="9">
        <v>22</v>
      </c>
      <c r="AT208" s="9">
        <v>27</v>
      </c>
      <c r="AU208" s="9">
        <v>53</v>
      </c>
      <c r="AV208" s="9">
        <v>49</v>
      </c>
      <c r="AW208" s="9">
        <v>57</v>
      </c>
      <c r="AX208" s="9">
        <v>62</v>
      </c>
      <c r="AY208" s="9">
        <v>61</v>
      </c>
      <c r="AZ208" s="9">
        <v>58</v>
      </c>
    </row>
    <row r="209" spans="2:52">
      <c r="B209" t="str">
        <f t="shared" si="15"/>
        <v>May</v>
      </c>
      <c r="C209" s="43">
        <f t="shared" si="16"/>
        <v>46166</v>
      </c>
      <c r="D209" s="44">
        <f t="shared" si="17"/>
        <v>46163</v>
      </c>
      <c r="E209" s="9" t="s">
        <v>46</v>
      </c>
      <c r="F209">
        <f t="shared" si="18"/>
        <v>0</v>
      </c>
      <c r="G209">
        <f t="shared" si="19"/>
        <v>30</v>
      </c>
      <c r="AJ209" s="40">
        <v>46163</v>
      </c>
      <c r="AK209" s="9" t="s">
        <v>202</v>
      </c>
      <c r="AL209" s="9" t="s">
        <v>46</v>
      </c>
      <c r="AM209" s="9"/>
      <c r="AN209" s="9">
        <v>13</v>
      </c>
      <c r="AO209" s="9">
        <v>0</v>
      </c>
      <c r="AP209" s="9">
        <v>5</v>
      </c>
      <c r="AQ209" s="9">
        <v>2</v>
      </c>
      <c r="AR209" s="9">
        <v>0</v>
      </c>
      <c r="AS209" s="9">
        <v>22</v>
      </c>
      <c r="AT209" s="9">
        <v>25</v>
      </c>
      <c r="AU209" s="9">
        <v>0</v>
      </c>
      <c r="AV209" s="9">
        <v>0</v>
      </c>
      <c r="AW209" s="9">
        <v>18</v>
      </c>
      <c r="AX209" s="9">
        <v>22</v>
      </c>
      <c r="AY209" s="9">
        <v>27</v>
      </c>
      <c r="AZ209" s="9">
        <v>30</v>
      </c>
    </row>
    <row r="210" spans="2:52">
      <c r="B210" t="str">
        <f t="shared" si="15"/>
        <v>May</v>
      </c>
      <c r="C210" s="43">
        <f t="shared" si="16"/>
        <v>46166</v>
      </c>
      <c r="D210" s="44">
        <f t="shared" si="17"/>
        <v>46163</v>
      </c>
      <c r="E210" s="9" t="s">
        <v>47</v>
      </c>
      <c r="F210">
        <f t="shared" si="18"/>
        <v>0</v>
      </c>
      <c r="G210">
        <f t="shared" si="19"/>
        <v>44</v>
      </c>
      <c r="AJ210" s="40">
        <v>46163</v>
      </c>
      <c r="AK210" s="9" t="s">
        <v>202</v>
      </c>
      <c r="AL210" s="9" t="s">
        <v>47</v>
      </c>
      <c r="AM210" s="9"/>
      <c r="AN210" s="9">
        <v>26</v>
      </c>
      <c r="AO210" s="9">
        <v>22</v>
      </c>
      <c r="AP210" s="9">
        <v>0</v>
      </c>
      <c r="AQ210" s="9">
        <v>21</v>
      </c>
      <c r="AR210" s="9">
        <v>26</v>
      </c>
      <c r="AS210" s="9">
        <v>23</v>
      </c>
      <c r="AT210" s="9">
        <v>27</v>
      </c>
      <c r="AU210" s="9">
        <v>25</v>
      </c>
      <c r="AV210" s="9">
        <v>28</v>
      </c>
      <c r="AW210" s="9">
        <v>33</v>
      </c>
      <c r="AX210" s="9">
        <v>35</v>
      </c>
      <c r="AY210" s="9">
        <v>39</v>
      </c>
      <c r="AZ210" s="9">
        <v>44</v>
      </c>
    </row>
    <row r="211" spans="2:52">
      <c r="B211" t="str">
        <f t="shared" si="15"/>
        <v>May</v>
      </c>
      <c r="C211" s="43">
        <f t="shared" si="16"/>
        <v>46166</v>
      </c>
      <c r="D211" s="44">
        <f t="shared" si="17"/>
        <v>46163</v>
      </c>
      <c r="E211" s="9" t="s">
        <v>206</v>
      </c>
      <c r="F211">
        <f t="shared" si="18"/>
        <v>0</v>
      </c>
      <c r="G211">
        <f t="shared" si="19"/>
        <v>-8</v>
      </c>
      <c r="AJ211" s="40">
        <v>46163</v>
      </c>
      <c r="AK211" s="9" t="s">
        <v>43</v>
      </c>
      <c r="AL211" s="9" t="s">
        <v>206</v>
      </c>
      <c r="AM211" s="9"/>
      <c r="AN211" s="9">
        <v>76</v>
      </c>
      <c r="AO211" s="9">
        <v>70</v>
      </c>
      <c r="AP211" s="9">
        <v>86</v>
      </c>
      <c r="AQ211" s="9">
        <v>124</v>
      </c>
      <c r="AR211" s="9">
        <v>125</v>
      </c>
      <c r="AS211" s="9">
        <v>131</v>
      </c>
      <c r="AT211" s="9">
        <v>132</v>
      </c>
      <c r="AU211" s="9">
        <v>0</v>
      </c>
      <c r="AV211" s="9">
        <v>2</v>
      </c>
      <c r="AW211" s="9">
        <v>10</v>
      </c>
      <c r="AX211" s="9">
        <v>12</v>
      </c>
      <c r="AY211" s="9">
        <v>5</v>
      </c>
      <c r="AZ211" s="9">
        <v>11</v>
      </c>
    </row>
    <row r="212" spans="2:52">
      <c r="B212" t="str">
        <f t="shared" si="15"/>
        <v>May</v>
      </c>
      <c r="C212" s="43">
        <f t="shared" si="16"/>
        <v>46166</v>
      </c>
      <c r="D212" s="44">
        <f t="shared" si="17"/>
        <v>46163</v>
      </c>
      <c r="E212" s="9" t="s">
        <v>207</v>
      </c>
      <c r="F212">
        <f t="shared" si="18"/>
        <v>0</v>
      </c>
      <c r="G212">
        <f t="shared" si="19"/>
        <v>-148</v>
      </c>
      <c r="AJ212" s="40">
        <v>46163</v>
      </c>
      <c r="AK212" s="9" t="s">
        <v>203</v>
      </c>
      <c r="AL212" s="9" t="s">
        <v>207</v>
      </c>
      <c r="AM212" s="9"/>
      <c r="AN212" s="9">
        <v>40</v>
      </c>
      <c r="AO212" s="9">
        <v>32</v>
      </c>
      <c r="AP212" s="9">
        <v>31</v>
      </c>
      <c r="AQ212" s="9">
        <v>14</v>
      </c>
      <c r="AR212" s="9">
        <v>13</v>
      </c>
      <c r="AS212" s="9">
        <v>13</v>
      </c>
      <c r="AT212" s="9">
        <v>0</v>
      </c>
      <c r="AU212" s="9">
        <v>1</v>
      </c>
      <c r="AV212" s="9">
        <v>3</v>
      </c>
      <c r="AW212" s="9">
        <v>0</v>
      </c>
      <c r="AX212" s="9">
        <v>43</v>
      </c>
      <c r="AY212" s="9">
        <v>46</v>
      </c>
      <c r="AZ212" s="9">
        <v>0</v>
      </c>
    </row>
    <row r="213" spans="2:52">
      <c r="B213" t="str">
        <f t="shared" si="15"/>
        <v>May</v>
      </c>
      <c r="C213" s="43">
        <f t="shared" si="16"/>
        <v>46166</v>
      </c>
      <c r="D213" s="44">
        <f t="shared" si="17"/>
        <v>46163</v>
      </c>
      <c r="E213" s="9" t="s">
        <v>42</v>
      </c>
      <c r="F213">
        <f t="shared" si="18"/>
        <v>0</v>
      </c>
      <c r="G213">
        <f t="shared" si="19"/>
        <v>-240</v>
      </c>
      <c r="AJ213" s="40">
        <v>46163</v>
      </c>
      <c r="AK213" s="9" t="s">
        <v>42</v>
      </c>
      <c r="AL213" s="9" t="s">
        <v>42</v>
      </c>
      <c r="AM213" s="9"/>
      <c r="AN213" s="9">
        <v>0</v>
      </c>
      <c r="AO213" s="9">
        <v>1</v>
      </c>
      <c r="AP213" s="9">
        <v>3</v>
      </c>
      <c r="AQ213" s="9">
        <v>29</v>
      </c>
      <c r="AR213" s="9">
        <v>0</v>
      </c>
      <c r="AS213" s="9">
        <v>2</v>
      </c>
      <c r="AT213" s="9">
        <v>2</v>
      </c>
      <c r="AU213" s="9">
        <v>0</v>
      </c>
      <c r="AV213" s="9">
        <v>0</v>
      </c>
      <c r="AW213" s="9">
        <v>5</v>
      </c>
      <c r="AX213" s="9">
        <v>0</v>
      </c>
      <c r="AY213" s="9">
        <v>2</v>
      </c>
      <c r="AZ213" s="9">
        <v>0</v>
      </c>
    </row>
    <row r="214" spans="2:52">
      <c r="B214" t="str">
        <f t="shared" si="15"/>
        <v>May</v>
      </c>
      <c r="C214" s="43">
        <f t="shared" si="16"/>
        <v>46166</v>
      </c>
      <c r="D214" s="44">
        <f t="shared" si="17"/>
        <v>46164</v>
      </c>
      <c r="E214" s="9" t="s">
        <v>31</v>
      </c>
      <c r="F214">
        <f t="shared" si="18"/>
        <v>0</v>
      </c>
      <c r="G214">
        <f t="shared" si="19"/>
        <v>-67</v>
      </c>
      <c r="AJ214" s="40">
        <v>46164</v>
      </c>
      <c r="AK214" s="9" t="s">
        <v>204</v>
      </c>
      <c r="AL214" s="9" t="s">
        <v>31</v>
      </c>
      <c r="AM214" s="9"/>
      <c r="AN214" s="9">
        <v>0</v>
      </c>
      <c r="AO214" s="9">
        <v>54</v>
      </c>
      <c r="AP214" s="9">
        <v>0</v>
      </c>
      <c r="AQ214" s="9">
        <v>44</v>
      </c>
      <c r="AR214" s="9">
        <v>36</v>
      </c>
      <c r="AS214" s="9">
        <v>69</v>
      </c>
      <c r="AT214" s="9">
        <v>56</v>
      </c>
      <c r="AU214" s="9">
        <v>0</v>
      </c>
      <c r="AV214" s="9">
        <v>0</v>
      </c>
      <c r="AW214" s="9">
        <v>0</v>
      </c>
      <c r="AX214" s="9">
        <v>0</v>
      </c>
      <c r="AY214" s="9">
        <v>38</v>
      </c>
      <c r="AZ214" s="9">
        <v>0</v>
      </c>
    </row>
    <row r="215" spans="2:52">
      <c r="B215" t="str">
        <f t="shared" si="15"/>
        <v>May</v>
      </c>
      <c r="C215" s="43">
        <f t="shared" si="16"/>
        <v>46166</v>
      </c>
      <c r="D215" s="44">
        <f t="shared" si="17"/>
        <v>46164</v>
      </c>
      <c r="E215" s="9" t="s">
        <v>39</v>
      </c>
      <c r="F215">
        <f t="shared" si="18"/>
        <v>0</v>
      </c>
      <c r="G215">
        <f t="shared" si="19"/>
        <v>144</v>
      </c>
      <c r="AJ215" s="40">
        <v>46164</v>
      </c>
      <c r="AK215" s="9" t="s">
        <v>205</v>
      </c>
      <c r="AL215" s="9" t="s">
        <v>39</v>
      </c>
      <c r="AM215" s="9"/>
      <c r="AN215" s="9">
        <v>0</v>
      </c>
      <c r="AO215" s="9">
        <v>0</v>
      </c>
      <c r="AP215" s="9">
        <v>23</v>
      </c>
      <c r="AQ215" s="9">
        <v>74</v>
      </c>
      <c r="AR215" s="9">
        <v>0</v>
      </c>
      <c r="AS215" s="9">
        <v>7</v>
      </c>
      <c r="AT215" s="9">
        <v>176</v>
      </c>
      <c r="AU215" s="9">
        <v>172</v>
      </c>
      <c r="AV215" s="9">
        <v>180</v>
      </c>
      <c r="AW215" s="9">
        <v>190</v>
      </c>
      <c r="AX215" s="9">
        <v>205</v>
      </c>
      <c r="AY215" s="9">
        <v>222</v>
      </c>
      <c r="AZ215" s="9">
        <v>240</v>
      </c>
    </row>
    <row r="216" spans="2:52">
      <c r="B216" t="str">
        <f t="shared" si="15"/>
        <v>May</v>
      </c>
      <c r="C216" s="43">
        <f t="shared" si="16"/>
        <v>46166</v>
      </c>
      <c r="D216" s="44">
        <f t="shared" si="17"/>
        <v>46164</v>
      </c>
      <c r="E216" s="9" t="s">
        <v>40</v>
      </c>
      <c r="F216">
        <f t="shared" si="18"/>
        <v>0</v>
      </c>
      <c r="G216">
        <f t="shared" si="19"/>
        <v>-10</v>
      </c>
      <c r="AJ216" s="40">
        <v>46164</v>
      </c>
      <c r="AK216" s="9" t="s">
        <v>205</v>
      </c>
      <c r="AL216" s="9" t="s">
        <v>40</v>
      </c>
      <c r="AM216" s="9"/>
      <c r="AN216" s="9">
        <v>108</v>
      </c>
      <c r="AO216" s="9">
        <v>102</v>
      </c>
      <c r="AP216" s="9">
        <v>92</v>
      </c>
      <c r="AQ216" s="9">
        <v>95</v>
      </c>
      <c r="AR216" s="9">
        <v>119</v>
      </c>
      <c r="AS216" s="9">
        <v>165</v>
      </c>
      <c r="AT216" s="9">
        <v>168</v>
      </c>
      <c r="AU216" s="9">
        <v>180</v>
      </c>
      <c r="AV216" s="9">
        <v>192</v>
      </c>
      <c r="AW216" s="9">
        <v>0</v>
      </c>
      <c r="AX216" s="9">
        <v>14</v>
      </c>
      <c r="AY216" s="9">
        <v>23</v>
      </c>
      <c r="AZ216" s="9">
        <v>28</v>
      </c>
    </row>
    <row r="217" spans="2:52">
      <c r="B217" t="str">
        <f t="shared" si="15"/>
        <v>May</v>
      </c>
      <c r="C217" s="43">
        <f t="shared" si="16"/>
        <v>46166</v>
      </c>
      <c r="D217" s="44">
        <f t="shared" si="17"/>
        <v>46164</v>
      </c>
      <c r="E217" s="9" t="s">
        <v>41</v>
      </c>
      <c r="F217">
        <f t="shared" si="18"/>
        <v>0</v>
      </c>
      <c r="G217">
        <f t="shared" si="19"/>
        <v>-13</v>
      </c>
      <c r="AJ217" s="40">
        <v>46164</v>
      </c>
      <c r="AK217" s="9" t="s">
        <v>41</v>
      </c>
      <c r="AL217" s="9" t="s">
        <v>41</v>
      </c>
      <c r="AM217" s="9"/>
      <c r="AN217" s="9">
        <v>15</v>
      </c>
      <c r="AO217" s="9">
        <v>12</v>
      </c>
      <c r="AP217" s="9">
        <v>14</v>
      </c>
      <c r="AQ217" s="9">
        <v>12</v>
      </c>
      <c r="AR217" s="9">
        <v>0</v>
      </c>
      <c r="AS217" s="9">
        <v>3</v>
      </c>
      <c r="AT217" s="9">
        <v>5</v>
      </c>
      <c r="AU217" s="9">
        <v>10</v>
      </c>
      <c r="AV217" s="9">
        <v>8</v>
      </c>
      <c r="AW217" s="9">
        <v>6</v>
      </c>
      <c r="AX217" s="9">
        <v>2</v>
      </c>
      <c r="AY217" s="9">
        <v>3</v>
      </c>
      <c r="AZ217" s="9">
        <v>2</v>
      </c>
    </row>
    <row r="218" spans="2:52">
      <c r="B218" t="str">
        <f t="shared" si="15"/>
        <v>May</v>
      </c>
      <c r="C218" s="43">
        <f t="shared" si="16"/>
        <v>46166</v>
      </c>
      <c r="D218" s="44">
        <f t="shared" si="17"/>
        <v>46164</v>
      </c>
      <c r="E218" s="9" t="s">
        <v>45</v>
      </c>
      <c r="F218">
        <f t="shared" si="18"/>
        <v>0</v>
      </c>
      <c r="G218">
        <f t="shared" si="19"/>
        <v>180</v>
      </c>
      <c r="AJ218" s="40">
        <v>46164</v>
      </c>
      <c r="AK218" s="9" t="s">
        <v>202</v>
      </c>
      <c r="AL218" s="9" t="s">
        <v>45</v>
      </c>
      <c r="AM218" s="9"/>
      <c r="AN218" s="9">
        <v>16</v>
      </c>
      <c r="AO218" s="9">
        <v>21</v>
      </c>
      <c r="AP218" s="9">
        <v>58</v>
      </c>
      <c r="AQ218" s="9">
        <v>59</v>
      </c>
      <c r="AR218" s="9">
        <v>65</v>
      </c>
      <c r="AS218" s="9">
        <v>66</v>
      </c>
      <c r="AT218" s="9">
        <v>110</v>
      </c>
      <c r="AU218" s="9">
        <v>112</v>
      </c>
      <c r="AV218" s="9">
        <v>234</v>
      </c>
      <c r="AW218" s="9">
        <v>205</v>
      </c>
      <c r="AX218" s="9">
        <v>212</v>
      </c>
      <c r="AY218" s="9">
        <v>240</v>
      </c>
      <c r="AZ218" s="9">
        <v>238</v>
      </c>
    </row>
    <row r="219" spans="2:52">
      <c r="B219" t="str">
        <f t="shared" si="15"/>
        <v>May</v>
      </c>
      <c r="C219" s="43">
        <f t="shared" si="16"/>
        <v>46166</v>
      </c>
      <c r="D219" s="44">
        <f t="shared" si="17"/>
        <v>46164</v>
      </c>
      <c r="E219" s="9" t="s">
        <v>46</v>
      </c>
      <c r="F219">
        <f t="shared" si="18"/>
        <v>0</v>
      </c>
      <c r="G219">
        <f t="shared" si="19"/>
        <v>24</v>
      </c>
      <c r="AJ219" s="40">
        <v>46164</v>
      </c>
      <c r="AK219" s="9" t="s">
        <v>202</v>
      </c>
      <c r="AL219" s="9" t="s">
        <v>46</v>
      </c>
      <c r="AM219" s="9"/>
      <c r="AN219" s="9">
        <v>0</v>
      </c>
      <c r="AO219" s="9">
        <v>4</v>
      </c>
      <c r="AP219" s="9">
        <v>8</v>
      </c>
      <c r="AQ219" s="9">
        <v>4</v>
      </c>
      <c r="AR219" s="9">
        <v>1</v>
      </c>
      <c r="AS219" s="9">
        <v>2</v>
      </c>
      <c r="AT219" s="9">
        <v>2</v>
      </c>
      <c r="AU219" s="9">
        <v>0</v>
      </c>
      <c r="AV219" s="9">
        <v>13</v>
      </c>
      <c r="AW219" s="9">
        <v>15</v>
      </c>
      <c r="AX219" s="9">
        <v>15</v>
      </c>
      <c r="AY219" s="9">
        <v>12</v>
      </c>
      <c r="AZ219" s="9">
        <v>54</v>
      </c>
    </row>
    <row r="220" spans="2:52">
      <c r="B220" t="str">
        <f t="shared" si="15"/>
        <v>May</v>
      </c>
      <c r="C220" s="43">
        <f t="shared" si="16"/>
        <v>46166</v>
      </c>
      <c r="D220" s="44">
        <f t="shared" si="17"/>
        <v>46164</v>
      </c>
      <c r="E220" s="9" t="s">
        <v>47</v>
      </c>
      <c r="F220">
        <f t="shared" si="18"/>
        <v>0</v>
      </c>
      <c r="G220">
        <f t="shared" si="19"/>
        <v>-44</v>
      </c>
      <c r="AJ220" s="40">
        <v>46164</v>
      </c>
      <c r="AK220" s="9" t="s">
        <v>202</v>
      </c>
      <c r="AL220" s="9" t="s">
        <v>47</v>
      </c>
      <c r="AM220" s="9"/>
      <c r="AN220" s="9">
        <v>19</v>
      </c>
      <c r="AO220" s="9">
        <v>16</v>
      </c>
      <c r="AP220" s="9">
        <v>14</v>
      </c>
      <c r="AQ220" s="9">
        <v>16</v>
      </c>
      <c r="AR220" s="9">
        <v>15</v>
      </c>
      <c r="AS220" s="9">
        <v>33</v>
      </c>
      <c r="AT220" s="9">
        <v>30</v>
      </c>
      <c r="AU220" s="9">
        <v>27</v>
      </c>
      <c r="AV220" s="9">
        <v>31</v>
      </c>
      <c r="AW220" s="9">
        <v>30</v>
      </c>
      <c r="AX220" s="9">
        <v>33</v>
      </c>
      <c r="AY220" s="9">
        <v>71</v>
      </c>
      <c r="AZ220" s="9">
        <v>0</v>
      </c>
    </row>
    <row r="221" spans="2:52">
      <c r="B221" t="str">
        <f t="shared" si="15"/>
        <v>May</v>
      </c>
      <c r="C221" s="43">
        <f t="shared" si="16"/>
        <v>46166</v>
      </c>
      <c r="D221" s="44">
        <f t="shared" si="17"/>
        <v>46164</v>
      </c>
      <c r="E221" s="9" t="s">
        <v>206</v>
      </c>
      <c r="F221">
        <f t="shared" si="18"/>
        <v>0</v>
      </c>
      <c r="G221">
        <f t="shared" si="19"/>
        <v>-11</v>
      </c>
      <c r="AJ221" s="40">
        <v>46164</v>
      </c>
      <c r="AK221" s="9" t="s">
        <v>43</v>
      </c>
      <c r="AL221" s="9" t="s">
        <v>206</v>
      </c>
      <c r="AM221" s="9"/>
      <c r="AN221" s="9">
        <v>42</v>
      </c>
      <c r="AO221" s="9">
        <v>81</v>
      </c>
      <c r="AP221" s="9">
        <v>56</v>
      </c>
      <c r="AQ221" s="9">
        <v>111</v>
      </c>
      <c r="AR221" s="9">
        <v>106</v>
      </c>
      <c r="AS221" s="9">
        <v>125</v>
      </c>
      <c r="AT221" s="9">
        <v>135</v>
      </c>
      <c r="AU221" s="9">
        <v>187</v>
      </c>
      <c r="AV221" s="9">
        <v>194</v>
      </c>
      <c r="AW221" s="9">
        <v>199</v>
      </c>
      <c r="AX221" s="9">
        <v>206</v>
      </c>
      <c r="AY221" s="9">
        <v>212</v>
      </c>
      <c r="AZ221" s="9">
        <v>0</v>
      </c>
    </row>
    <row r="222" spans="2:52">
      <c r="B222" t="str">
        <f t="shared" si="15"/>
        <v>May</v>
      </c>
      <c r="C222" s="43">
        <f t="shared" si="16"/>
        <v>46166</v>
      </c>
      <c r="D222" s="44">
        <f t="shared" si="17"/>
        <v>46164</v>
      </c>
      <c r="E222" s="9" t="s">
        <v>207</v>
      </c>
      <c r="F222">
        <f t="shared" si="18"/>
        <v>0</v>
      </c>
      <c r="G222">
        <f t="shared" si="19"/>
        <v>240</v>
      </c>
      <c r="AJ222" s="40">
        <v>46164</v>
      </c>
      <c r="AK222" s="9" t="s">
        <v>203</v>
      </c>
      <c r="AL222" s="9" t="s">
        <v>207</v>
      </c>
      <c r="AM222" s="9"/>
      <c r="AN222" s="9">
        <v>0</v>
      </c>
      <c r="AO222" s="9">
        <v>0</v>
      </c>
      <c r="AP222" s="9">
        <v>4</v>
      </c>
      <c r="AQ222" s="9">
        <v>10</v>
      </c>
      <c r="AR222" s="9">
        <v>19</v>
      </c>
      <c r="AS222" s="9">
        <v>13</v>
      </c>
      <c r="AT222" s="9">
        <v>13</v>
      </c>
      <c r="AU222" s="9">
        <v>200</v>
      </c>
      <c r="AV222" s="9">
        <v>222</v>
      </c>
      <c r="AW222" s="9">
        <v>181</v>
      </c>
      <c r="AX222" s="9">
        <v>188</v>
      </c>
      <c r="AY222" s="9">
        <v>240</v>
      </c>
      <c r="AZ222" s="9">
        <v>240</v>
      </c>
    </row>
    <row r="223" spans="2:52">
      <c r="B223" t="str">
        <f t="shared" si="15"/>
        <v>May</v>
      </c>
      <c r="C223" s="43">
        <f t="shared" si="16"/>
        <v>46166</v>
      </c>
      <c r="D223" s="44">
        <f t="shared" si="17"/>
        <v>46164</v>
      </c>
      <c r="E223" s="9" t="s">
        <v>42</v>
      </c>
      <c r="F223">
        <f t="shared" si="18"/>
        <v>0</v>
      </c>
      <c r="G223">
        <f t="shared" si="19"/>
        <v>69</v>
      </c>
      <c r="AJ223" s="40">
        <v>46164</v>
      </c>
      <c r="AK223" s="9" t="s">
        <v>42</v>
      </c>
      <c r="AL223" s="9" t="s">
        <v>42</v>
      </c>
      <c r="AM223" s="9"/>
      <c r="AN223" s="9">
        <v>29</v>
      </c>
      <c r="AO223" s="9">
        <v>0</v>
      </c>
      <c r="AP223" s="9">
        <v>4</v>
      </c>
      <c r="AQ223" s="9">
        <v>11</v>
      </c>
      <c r="AR223" s="9">
        <v>52</v>
      </c>
      <c r="AS223" s="9">
        <v>58</v>
      </c>
      <c r="AT223" s="9">
        <v>63</v>
      </c>
      <c r="AU223" s="9">
        <v>67</v>
      </c>
      <c r="AV223" s="9">
        <v>69</v>
      </c>
      <c r="AW223" s="9">
        <v>71</v>
      </c>
      <c r="AX223" s="9">
        <v>66</v>
      </c>
      <c r="AY223" s="9">
        <v>64</v>
      </c>
      <c r="AZ223" s="9">
        <v>69</v>
      </c>
    </row>
    <row r="224" spans="2:52">
      <c r="B224" t="str">
        <f t="shared" si="15"/>
        <v>May</v>
      </c>
      <c r="C224" s="43">
        <f t="shared" si="16"/>
        <v>46166</v>
      </c>
      <c r="D224" s="44">
        <f t="shared" si="17"/>
        <v>46165</v>
      </c>
      <c r="E224" s="9" t="s">
        <v>31</v>
      </c>
      <c r="F224">
        <f t="shared" si="18"/>
        <v>0</v>
      </c>
      <c r="G224">
        <f t="shared" si="19"/>
        <v>52</v>
      </c>
      <c r="AJ224" s="40">
        <v>46165</v>
      </c>
      <c r="AK224" s="9" t="s">
        <v>204</v>
      </c>
      <c r="AL224" s="9" t="s">
        <v>31</v>
      </c>
      <c r="AM224" s="9"/>
      <c r="AN224" s="9">
        <v>65</v>
      </c>
      <c r="AO224" s="9">
        <v>110</v>
      </c>
      <c r="AP224" s="9">
        <v>114</v>
      </c>
      <c r="AQ224" s="9">
        <v>122</v>
      </c>
      <c r="AR224" s="9">
        <v>106</v>
      </c>
      <c r="AS224" s="9">
        <v>93</v>
      </c>
      <c r="AT224" s="9">
        <v>113</v>
      </c>
      <c r="AU224" s="9">
        <v>132</v>
      </c>
      <c r="AV224" s="9">
        <v>0</v>
      </c>
      <c r="AW224" s="9">
        <v>1</v>
      </c>
      <c r="AX224" s="9">
        <v>12</v>
      </c>
      <c r="AY224" s="9">
        <v>0</v>
      </c>
      <c r="AZ224" s="9">
        <v>52</v>
      </c>
    </row>
    <row r="225" spans="2:52">
      <c r="B225" t="str">
        <f t="shared" si="15"/>
        <v>May</v>
      </c>
      <c r="C225" s="43">
        <f t="shared" si="16"/>
        <v>46166</v>
      </c>
      <c r="D225" s="44">
        <f t="shared" si="17"/>
        <v>46165</v>
      </c>
      <c r="E225" s="9" t="s">
        <v>39</v>
      </c>
      <c r="F225">
        <f t="shared" si="18"/>
        <v>0</v>
      </c>
      <c r="G225">
        <f t="shared" si="19"/>
        <v>-71</v>
      </c>
      <c r="AJ225" s="40">
        <v>46165</v>
      </c>
      <c r="AK225" s="9" t="s">
        <v>205</v>
      </c>
      <c r="AL225" s="9" t="s">
        <v>39</v>
      </c>
      <c r="AM225" s="9"/>
      <c r="AN225" s="9">
        <v>0</v>
      </c>
      <c r="AO225" s="9">
        <v>15</v>
      </c>
      <c r="AP225" s="9">
        <v>14</v>
      </c>
      <c r="AQ225" s="9">
        <v>6</v>
      </c>
      <c r="AR225" s="9">
        <v>39</v>
      </c>
      <c r="AS225" s="9">
        <v>40</v>
      </c>
      <c r="AT225" s="9">
        <v>25</v>
      </c>
      <c r="AU225" s="9">
        <v>34</v>
      </c>
      <c r="AV225" s="9">
        <v>25</v>
      </c>
      <c r="AW225" s="9">
        <v>29</v>
      </c>
      <c r="AX225" s="9">
        <v>40</v>
      </c>
      <c r="AY225" s="9">
        <v>55</v>
      </c>
      <c r="AZ225" s="9">
        <v>169</v>
      </c>
    </row>
    <row r="226" spans="2:52">
      <c r="B226" t="str">
        <f t="shared" si="15"/>
        <v>May</v>
      </c>
      <c r="C226" s="43">
        <f t="shared" si="16"/>
        <v>46166</v>
      </c>
      <c r="D226" s="44">
        <f t="shared" si="17"/>
        <v>46165</v>
      </c>
      <c r="E226" s="9" t="s">
        <v>40</v>
      </c>
      <c r="F226">
        <f t="shared" si="18"/>
        <v>0</v>
      </c>
      <c r="G226">
        <f t="shared" si="19"/>
        <v>-28</v>
      </c>
      <c r="AJ226" s="40">
        <v>46165</v>
      </c>
      <c r="AK226" s="9" t="s">
        <v>205</v>
      </c>
      <c r="AL226" s="9" t="s">
        <v>40</v>
      </c>
      <c r="AM226" s="9"/>
      <c r="AN226" s="9">
        <v>64</v>
      </c>
      <c r="AO226" s="9">
        <v>64</v>
      </c>
      <c r="AP226" s="9">
        <v>64</v>
      </c>
      <c r="AQ226" s="9">
        <v>69</v>
      </c>
      <c r="AR226" s="9">
        <v>64</v>
      </c>
      <c r="AS226" s="9">
        <v>63</v>
      </c>
      <c r="AT226" s="9">
        <v>69</v>
      </c>
      <c r="AU226" s="9">
        <v>32</v>
      </c>
      <c r="AV226" s="9">
        <v>32</v>
      </c>
      <c r="AW226" s="9">
        <v>0</v>
      </c>
      <c r="AX226" s="9">
        <v>0</v>
      </c>
      <c r="AY226" s="9">
        <v>28</v>
      </c>
      <c r="AZ226" s="9">
        <v>0</v>
      </c>
    </row>
    <row r="227" spans="2:52">
      <c r="B227" t="str">
        <f t="shared" si="15"/>
        <v>May</v>
      </c>
      <c r="C227" s="43">
        <f t="shared" si="16"/>
        <v>46166</v>
      </c>
      <c r="D227" s="44">
        <f t="shared" si="17"/>
        <v>46165</v>
      </c>
      <c r="E227" s="9" t="s">
        <v>41</v>
      </c>
      <c r="F227">
        <f t="shared" si="18"/>
        <v>0</v>
      </c>
      <c r="G227">
        <f t="shared" si="19"/>
        <v>23</v>
      </c>
      <c r="AJ227" s="40">
        <v>46165</v>
      </c>
      <c r="AK227" s="9" t="s">
        <v>41</v>
      </c>
      <c r="AL227" s="9" t="s">
        <v>41</v>
      </c>
      <c r="AM227" s="9"/>
      <c r="AN227" s="9">
        <v>0</v>
      </c>
      <c r="AO227" s="9">
        <v>13</v>
      </c>
      <c r="AP227" s="9">
        <v>12</v>
      </c>
      <c r="AQ227" s="9">
        <v>11</v>
      </c>
      <c r="AR227" s="9">
        <v>0</v>
      </c>
      <c r="AS227" s="9">
        <v>140</v>
      </c>
      <c r="AT227" s="9">
        <v>137</v>
      </c>
      <c r="AU227" s="9">
        <v>119</v>
      </c>
      <c r="AV227" s="9">
        <v>0</v>
      </c>
      <c r="AW227" s="9">
        <v>2</v>
      </c>
      <c r="AX227" s="9">
        <v>2</v>
      </c>
      <c r="AY227" s="9">
        <v>1</v>
      </c>
      <c r="AZ227" s="9">
        <v>25</v>
      </c>
    </row>
    <row r="228" spans="2:52">
      <c r="B228" t="str">
        <f t="shared" si="15"/>
        <v>May</v>
      </c>
      <c r="C228" s="43">
        <f t="shared" si="16"/>
        <v>46166</v>
      </c>
      <c r="D228" s="44">
        <f t="shared" si="17"/>
        <v>46165</v>
      </c>
      <c r="E228" s="9" t="s">
        <v>45</v>
      </c>
      <c r="F228">
        <f t="shared" si="18"/>
        <v>0</v>
      </c>
      <c r="G228">
        <f t="shared" si="19"/>
        <v>-235</v>
      </c>
      <c r="AJ228" s="40">
        <v>46165</v>
      </c>
      <c r="AK228" s="9" t="s">
        <v>202</v>
      </c>
      <c r="AL228" s="9" t="s">
        <v>45</v>
      </c>
      <c r="AM228" s="9"/>
      <c r="AN228" s="9">
        <v>18</v>
      </c>
      <c r="AO228" s="9">
        <v>26</v>
      </c>
      <c r="AP228" s="9">
        <v>159</v>
      </c>
      <c r="AQ228" s="9">
        <v>208</v>
      </c>
      <c r="AR228" s="9">
        <v>201</v>
      </c>
      <c r="AS228" s="9">
        <v>204</v>
      </c>
      <c r="AT228" s="9">
        <v>203</v>
      </c>
      <c r="AU228" s="9">
        <v>204</v>
      </c>
      <c r="AV228" s="9">
        <v>203</v>
      </c>
      <c r="AW228" s="9">
        <v>198</v>
      </c>
      <c r="AX228" s="9">
        <v>205</v>
      </c>
      <c r="AY228" s="9">
        <v>0</v>
      </c>
      <c r="AZ228" s="9">
        <v>3</v>
      </c>
    </row>
    <row r="229" spans="2:52">
      <c r="B229" t="str">
        <f t="shared" si="15"/>
        <v>May</v>
      </c>
      <c r="C229" s="43">
        <f t="shared" si="16"/>
        <v>46166</v>
      </c>
      <c r="D229" s="44">
        <f t="shared" si="17"/>
        <v>46165</v>
      </c>
      <c r="E229" s="9" t="s">
        <v>46</v>
      </c>
      <c r="F229">
        <f t="shared" si="18"/>
        <v>0</v>
      </c>
      <c r="G229">
        <f t="shared" si="19"/>
        <v>-54</v>
      </c>
      <c r="AJ229" s="40">
        <v>46165</v>
      </c>
      <c r="AK229" s="9" t="s">
        <v>202</v>
      </c>
      <c r="AL229" s="9" t="s">
        <v>46</v>
      </c>
      <c r="AM229" s="9"/>
      <c r="AN229" s="9">
        <v>11</v>
      </c>
      <c r="AO229" s="9">
        <v>10</v>
      </c>
      <c r="AP229" s="9">
        <v>0</v>
      </c>
      <c r="AQ229" s="9">
        <v>0</v>
      </c>
      <c r="AR229" s="9">
        <v>0</v>
      </c>
      <c r="AS229" s="9">
        <v>0</v>
      </c>
      <c r="AT229" s="9">
        <v>5</v>
      </c>
      <c r="AU229" s="9">
        <v>2</v>
      </c>
      <c r="AV229" s="9">
        <v>0</v>
      </c>
      <c r="AW229" s="9">
        <v>0</v>
      </c>
      <c r="AX229" s="9">
        <v>5</v>
      </c>
      <c r="AY229" s="9">
        <v>2</v>
      </c>
      <c r="AZ229" s="9">
        <v>0</v>
      </c>
    </row>
    <row r="230" spans="2:52">
      <c r="B230" t="str">
        <f t="shared" si="15"/>
        <v>May</v>
      </c>
      <c r="C230" s="43">
        <f t="shared" si="16"/>
        <v>46166</v>
      </c>
      <c r="D230" s="44">
        <f t="shared" si="17"/>
        <v>46165</v>
      </c>
      <c r="E230" s="9" t="s">
        <v>47</v>
      </c>
      <c r="F230">
        <f t="shared" si="18"/>
        <v>0</v>
      </c>
      <c r="G230">
        <f t="shared" si="19"/>
        <v>0</v>
      </c>
      <c r="AJ230" s="40">
        <v>46165</v>
      </c>
      <c r="AK230" s="9" t="s">
        <v>202</v>
      </c>
      <c r="AL230" s="9" t="s">
        <v>47</v>
      </c>
      <c r="AM230" s="9"/>
      <c r="AN230" s="9">
        <v>44</v>
      </c>
      <c r="AO230" s="9">
        <v>46</v>
      </c>
      <c r="AP230" s="9">
        <v>46</v>
      </c>
      <c r="AQ230" s="9">
        <v>49</v>
      </c>
      <c r="AR230" s="9">
        <v>48</v>
      </c>
      <c r="AS230" s="9">
        <v>0</v>
      </c>
      <c r="AT230" s="9">
        <v>0</v>
      </c>
      <c r="AU230" s="9">
        <v>3</v>
      </c>
      <c r="AV230" s="9">
        <v>0</v>
      </c>
      <c r="AW230" s="9">
        <v>12</v>
      </c>
      <c r="AX230" s="9">
        <v>0</v>
      </c>
      <c r="AY230" s="9">
        <v>1</v>
      </c>
      <c r="AZ230" s="9">
        <v>0</v>
      </c>
    </row>
    <row r="231" spans="2:52">
      <c r="B231" t="str">
        <f t="shared" si="15"/>
        <v>May</v>
      </c>
      <c r="C231" s="43">
        <f t="shared" si="16"/>
        <v>46166</v>
      </c>
      <c r="D231" s="44">
        <f t="shared" si="17"/>
        <v>46165</v>
      </c>
      <c r="E231" s="9" t="s">
        <v>206</v>
      </c>
      <c r="F231">
        <f t="shared" si="18"/>
        <v>0</v>
      </c>
      <c r="G231">
        <f t="shared" si="19"/>
        <v>0</v>
      </c>
      <c r="AJ231" s="40">
        <v>46165</v>
      </c>
      <c r="AK231" s="9" t="s">
        <v>43</v>
      </c>
      <c r="AL231" s="9" t="s">
        <v>206</v>
      </c>
      <c r="AM231" s="9"/>
      <c r="AN231" s="9">
        <v>15</v>
      </c>
      <c r="AO231" s="9">
        <v>17</v>
      </c>
      <c r="AP231" s="9">
        <v>14</v>
      </c>
      <c r="AQ231" s="9">
        <v>12</v>
      </c>
      <c r="AR231" s="9">
        <v>22</v>
      </c>
      <c r="AS231" s="9">
        <v>14</v>
      </c>
      <c r="AT231" s="9">
        <v>0</v>
      </c>
      <c r="AU231" s="9">
        <v>3</v>
      </c>
      <c r="AV231" s="9">
        <v>8</v>
      </c>
      <c r="AW231" s="9">
        <v>0</v>
      </c>
      <c r="AX231" s="9">
        <v>1</v>
      </c>
      <c r="AY231" s="9">
        <v>4</v>
      </c>
      <c r="AZ231" s="9">
        <v>0</v>
      </c>
    </row>
    <row r="232" spans="2:52">
      <c r="B232" t="str">
        <f t="shared" si="15"/>
        <v>May</v>
      </c>
      <c r="C232" s="43">
        <f t="shared" si="16"/>
        <v>46166</v>
      </c>
      <c r="D232" s="44">
        <f t="shared" si="17"/>
        <v>46165</v>
      </c>
      <c r="E232" s="9" t="s">
        <v>207</v>
      </c>
      <c r="F232">
        <f t="shared" si="18"/>
        <v>0</v>
      </c>
      <c r="G232">
        <f t="shared" si="19"/>
        <v>-220</v>
      </c>
      <c r="AJ232" s="40">
        <v>46165</v>
      </c>
      <c r="AK232" s="9" t="s">
        <v>203</v>
      </c>
      <c r="AL232" s="9" t="s">
        <v>207</v>
      </c>
      <c r="AM232" s="9"/>
      <c r="AN232" s="9">
        <v>18</v>
      </c>
      <c r="AO232" s="9">
        <v>0</v>
      </c>
      <c r="AP232" s="9">
        <v>31</v>
      </c>
      <c r="AQ232" s="9">
        <v>26</v>
      </c>
      <c r="AR232" s="9">
        <v>33</v>
      </c>
      <c r="AS232" s="9">
        <v>0</v>
      </c>
      <c r="AT232" s="9">
        <v>0</v>
      </c>
      <c r="AU232" s="9">
        <v>23</v>
      </c>
      <c r="AV232" s="9">
        <v>15</v>
      </c>
      <c r="AW232" s="9">
        <v>0</v>
      </c>
      <c r="AX232" s="9">
        <v>0</v>
      </c>
      <c r="AY232" s="9">
        <v>26</v>
      </c>
      <c r="AZ232" s="9">
        <v>20</v>
      </c>
    </row>
    <row r="233" spans="2:52">
      <c r="B233" t="str">
        <f t="shared" si="15"/>
        <v>May</v>
      </c>
      <c r="C233" s="43">
        <f t="shared" si="16"/>
        <v>46166</v>
      </c>
      <c r="D233" s="44">
        <f t="shared" si="17"/>
        <v>46165</v>
      </c>
      <c r="E233" s="9" t="s">
        <v>42</v>
      </c>
      <c r="F233">
        <f t="shared" si="18"/>
        <v>0</v>
      </c>
      <c r="G233">
        <f t="shared" si="19"/>
        <v>53</v>
      </c>
      <c r="AJ233" s="40">
        <v>46165</v>
      </c>
      <c r="AK233" s="9" t="s">
        <v>42</v>
      </c>
      <c r="AL233" s="9" t="s">
        <v>42</v>
      </c>
      <c r="AM233" s="9"/>
      <c r="AN233" s="9">
        <v>0</v>
      </c>
      <c r="AO233" s="9">
        <v>0</v>
      </c>
      <c r="AP233" s="9">
        <v>17</v>
      </c>
      <c r="AQ233" s="9">
        <v>14</v>
      </c>
      <c r="AR233" s="9">
        <v>16</v>
      </c>
      <c r="AS233" s="9">
        <v>18</v>
      </c>
      <c r="AT233" s="9">
        <v>25</v>
      </c>
      <c r="AU233" s="9">
        <v>24</v>
      </c>
      <c r="AV233" s="9">
        <v>31</v>
      </c>
      <c r="AW233" s="9">
        <v>29</v>
      </c>
      <c r="AX233" s="9">
        <v>48</v>
      </c>
      <c r="AY233" s="9">
        <v>54</v>
      </c>
      <c r="AZ233" s="9">
        <v>122</v>
      </c>
    </row>
    <row r="234" spans="2:52">
      <c r="B234" t="str">
        <f t="shared" si="15"/>
        <v>May</v>
      </c>
      <c r="C234" s="43">
        <f t="shared" si="16"/>
        <v>46173</v>
      </c>
      <c r="D234" s="44">
        <f t="shared" si="17"/>
        <v>46166</v>
      </c>
      <c r="E234" s="9" t="s">
        <v>31</v>
      </c>
      <c r="F234">
        <f t="shared" si="18"/>
        <v>0</v>
      </c>
      <c r="G234">
        <f t="shared" si="19"/>
        <v>-52</v>
      </c>
      <c r="AJ234" s="40">
        <v>46166</v>
      </c>
      <c r="AK234" s="9" t="s">
        <v>204</v>
      </c>
      <c r="AL234" s="9" t="s">
        <v>31</v>
      </c>
      <c r="AM234" s="9"/>
      <c r="AN234" s="9">
        <v>149</v>
      </c>
      <c r="AO234" s="9">
        <v>136</v>
      </c>
      <c r="AP234" s="9">
        <v>193</v>
      </c>
      <c r="AQ234" s="9">
        <v>160</v>
      </c>
      <c r="AR234" s="9">
        <v>166</v>
      </c>
      <c r="AS234" s="9">
        <v>179</v>
      </c>
      <c r="AT234" s="9">
        <v>232</v>
      </c>
      <c r="AU234" s="9">
        <v>223</v>
      </c>
      <c r="AV234" s="9">
        <v>223</v>
      </c>
      <c r="AW234" s="9">
        <v>215</v>
      </c>
      <c r="AX234" s="9">
        <v>199</v>
      </c>
      <c r="AY234" s="9">
        <v>169</v>
      </c>
      <c r="AZ234" s="9">
        <v>0</v>
      </c>
    </row>
    <row r="235" spans="2:52">
      <c r="B235" t="str">
        <f t="shared" si="15"/>
        <v>May</v>
      </c>
      <c r="C235" s="43">
        <f t="shared" si="16"/>
        <v>46173</v>
      </c>
      <c r="D235" s="44">
        <f t="shared" si="17"/>
        <v>46166</v>
      </c>
      <c r="E235" s="9" t="s">
        <v>39</v>
      </c>
      <c r="F235">
        <f t="shared" si="18"/>
        <v>0</v>
      </c>
      <c r="G235">
        <f t="shared" si="19"/>
        <v>-14</v>
      </c>
      <c r="AJ235" s="40">
        <v>46166</v>
      </c>
      <c r="AK235" s="9" t="s">
        <v>205</v>
      </c>
      <c r="AL235" s="9" t="s">
        <v>39</v>
      </c>
      <c r="AM235" s="9"/>
      <c r="AN235" s="9">
        <v>0</v>
      </c>
      <c r="AO235" s="9">
        <v>32</v>
      </c>
      <c r="AP235" s="9">
        <v>43</v>
      </c>
      <c r="AQ235" s="9">
        <v>31</v>
      </c>
      <c r="AR235" s="9">
        <v>24</v>
      </c>
      <c r="AS235" s="9">
        <v>0</v>
      </c>
      <c r="AT235" s="9">
        <v>0</v>
      </c>
      <c r="AU235" s="9">
        <v>0</v>
      </c>
      <c r="AV235" s="9">
        <v>42</v>
      </c>
      <c r="AW235" s="9">
        <v>79</v>
      </c>
      <c r="AX235" s="9">
        <v>94</v>
      </c>
      <c r="AY235" s="9">
        <v>88</v>
      </c>
      <c r="AZ235" s="9">
        <v>155</v>
      </c>
    </row>
    <row r="236" spans="2:52">
      <c r="B236" t="str">
        <f t="shared" si="15"/>
        <v>May</v>
      </c>
      <c r="C236" s="43">
        <f t="shared" si="16"/>
        <v>46173</v>
      </c>
      <c r="D236" s="44">
        <f t="shared" si="17"/>
        <v>46166</v>
      </c>
      <c r="E236" s="9" t="s">
        <v>40</v>
      </c>
      <c r="F236">
        <f t="shared" si="18"/>
        <v>0</v>
      </c>
      <c r="G236">
        <f t="shared" si="19"/>
        <v>78</v>
      </c>
      <c r="AJ236" s="40">
        <v>46166</v>
      </c>
      <c r="AK236" s="9" t="s">
        <v>205</v>
      </c>
      <c r="AL236" s="9" t="s">
        <v>40</v>
      </c>
      <c r="AM236" s="9"/>
      <c r="AN236" s="9">
        <v>57</v>
      </c>
      <c r="AO236" s="9">
        <v>65</v>
      </c>
      <c r="AP236" s="9">
        <v>68</v>
      </c>
      <c r="AQ236" s="9">
        <v>38</v>
      </c>
      <c r="AR236" s="9">
        <v>31</v>
      </c>
      <c r="AS236" s="9">
        <v>25</v>
      </c>
      <c r="AT236" s="9">
        <v>24</v>
      </c>
      <c r="AU236" s="9">
        <v>32</v>
      </c>
      <c r="AV236" s="9">
        <v>65</v>
      </c>
      <c r="AW236" s="9">
        <v>70</v>
      </c>
      <c r="AX236" s="9">
        <v>66</v>
      </c>
      <c r="AY236" s="9">
        <v>68</v>
      </c>
      <c r="AZ236" s="9">
        <v>78</v>
      </c>
    </row>
    <row r="237" spans="2:52">
      <c r="B237" t="str">
        <f t="shared" si="15"/>
        <v>May</v>
      </c>
      <c r="C237" s="43">
        <f t="shared" si="16"/>
        <v>46173</v>
      </c>
      <c r="D237" s="44">
        <f t="shared" si="17"/>
        <v>46166</v>
      </c>
      <c r="E237" s="9" t="s">
        <v>41</v>
      </c>
      <c r="F237">
        <f t="shared" si="18"/>
        <v>0</v>
      </c>
      <c r="G237">
        <f t="shared" si="19"/>
        <v>-25</v>
      </c>
      <c r="AJ237" s="40">
        <v>46166</v>
      </c>
      <c r="AK237" s="9" t="s">
        <v>41</v>
      </c>
      <c r="AL237" s="9" t="s">
        <v>41</v>
      </c>
      <c r="AM237" s="9"/>
      <c r="AN237" s="9">
        <v>20</v>
      </c>
      <c r="AO237" s="9">
        <v>17</v>
      </c>
      <c r="AP237" s="9">
        <v>18</v>
      </c>
      <c r="AQ237" s="9">
        <v>20</v>
      </c>
      <c r="AR237" s="9">
        <v>16</v>
      </c>
      <c r="AS237" s="9">
        <v>0</v>
      </c>
      <c r="AT237" s="9">
        <v>0</v>
      </c>
      <c r="AU237" s="9">
        <v>0</v>
      </c>
      <c r="AV237" s="9">
        <v>8</v>
      </c>
      <c r="AW237" s="9">
        <v>0</v>
      </c>
      <c r="AX237" s="9">
        <v>0</v>
      </c>
      <c r="AY237" s="9">
        <v>0</v>
      </c>
      <c r="AZ237" s="9">
        <v>0</v>
      </c>
    </row>
    <row r="238" spans="2:52">
      <c r="B238" t="str">
        <f t="shared" si="15"/>
        <v>May</v>
      </c>
      <c r="C238" s="43">
        <f t="shared" si="16"/>
        <v>46173</v>
      </c>
      <c r="D238" s="44">
        <f t="shared" si="17"/>
        <v>46166</v>
      </c>
      <c r="E238" s="9" t="s">
        <v>45</v>
      </c>
      <c r="F238">
        <f t="shared" si="18"/>
        <v>0</v>
      </c>
      <c r="G238">
        <f t="shared" si="19"/>
        <v>28</v>
      </c>
      <c r="AJ238" s="40">
        <v>46166</v>
      </c>
      <c r="AK238" s="9" t="s">
        <v>202</v>
      </c>
      <c r="AL238" s="9" t="s">
        <v>45</v>
      </c>
      <c r="AM238" s="9"/>
      <c r="AN238" s="9">
        <v>81</v>
      </c>
      <c r="AO238" s="9">
        <v>84</v>
      </c>
      <c r="AP238" s="9">
        <v>120</v>
      </c>
      <c r="AQ238" s="9">
        <v>124</v>
      </c>
      <c r="AR238" s="9">
        <v>0</v>
      </c>
      <c r="AS238" s="9">
        <v>3</v>
      </c>
      <c r="AT238" s="9">
        <v>7</v>
      </c>
      <c r="AU238" s="9">
        <v>14</v>
      </c>
      <c r="AV238" s="9">
        <v>7</v>
      </c>
      <c r="AW238" s="9">
        <v>32</v>
      </c>
      <c r="AX238" s="9">
        <v>35</v>
      </c>
      <c r="AY238" s="9">
        <v>28</v>
      </c>
      <c r="AZ238" s="9">
        <v>31</v>
      </c>
    </row>
    <row r="239" spans="2:52">
      <c r="B239" t="str">
        <f t="shared" si="15"/>
        <v>May</v>
      </c>
      <c r="C239" s="43">
        <f t="shared" si="16"/>
        <v>46173</v>
      </c>
      <c r="D239" s="44">
        <f t="shared" si="17"/>
        <v>46166</v>
      </c>
      <c r="E239" s="9" t="s">
        <v>46</v>
      </c>
      <c r="F239">
        <f t="shared" si="18"/>
        <v>0</v>
      </c>
      <c r="G239">
        <f t="shared" si="19"/>
        <v>0</v>
      </c>
      <c r="AJ239" s="40">
        <v>46166</v>
      </c>
      <c r="AK239" s="9" t="s">
        <v>202</v>
      </c>
      <c r="AL239" s="9" t="s">
        <v>46</v>
      </c>
      <c r="AM239" s="9"/>
      <c r="AN239" s="9">
        <v>17</v>
      </c>
      <c r="AO239" s="9">
        <v>16</v>
      </c>
      <c r="AP239" s="9">
        <v>0</v>
      </c>
      <c r="AQ239" s="9">
        <v>0</v>
      </c>
      <c r="AR239" s="9">
        <v>60</v>
      </c>
      <c r="AS239" s="9">
        <v>58</v>
      </c>
      <c r="AT239" s="9">
        <v>18</v>
      </c>
      <c r="AU239" s="9">
        <v>23</v>
      </c>
      <c r="AV239" s="9">
        <v>19</v>
      </c>
      <c r="AW239" s="9">
        <v>24</v>
      </c>
      <c r="AX239" s="9">
        <v>28</v>
      </c>
      <c r="AY239" s="9">
        <v>67</v>
      </c>
      <c r="AZ239" s="9">
        <v>0</v>
      </c>
    </row>
    <row r="240" spans="2:52">
      <c r="B240" t="str">
        <f t="shared" si="15"/>
        <v>May</v>
      </c>
      <c r="C240" s="43">
        <f t="shared" si="16"/>
        <v>46173</v>
      </c>
      <c r="D240" s="44">
        <f t="shared" si="17"/>
        <v>46166</v>
      </c>
      <c r="E240" s="9" t="s">
        <v>47</v>
      </c>
      <c r="F240">
        <f t="shared" si="18"/>
        <v>0</v>
      </c>
      <c r="G240">
        <f t="shared" si="19"/>
        <v>0</v>
      </c>
      <c r="AJ240" s="40">
        <v>46166</v>
      </c>
      <c r="AK240" s="9" t="s">
        <v>202</v>
      </c>
      <c r="AL240" s="9" t="s">
        <v>47</v>
      </c>
      <c r="AM240" s="9"/>
      <c r="AN240" s="9">
        <v>19</v>
      </c>
      <c r="AO240" s="9">
        <v>24</v>
      </c>
      <c r="AP240" s="9">
        <v>29</v>
      </c>
      <c r="AQ240" s="9">
        <v>68</v>
      </c>
      <c r="AR240" s="9">
        <v>0</v>
      </c>
      <c r="AS240" s="9">
        <v>181</v>
      </c>
      <c r="AT240" s="9">
        <v>183</v>
      </c>
      <c r="AU240" s="9">
        <v>181</v>
      </c>
      <c r="AV240" s="9">
        <v>181</v>
      </c>
      <c r="AW240" s="9">
        <v>186</v>
      </c>
      <c r="AX240" s="9">
        <v>185</v>
      </c>
      <c r="AY240" s="9">
        <v>188</v>
      </c>
      <c r="AZ240" s="9">
        <v>0</v>
      </c>
    </row>
    <row r="241" spans="2:52">
      <c r="B241" t="str">
        <f t="shared" si="15"/>
        <v>May</v>
      </c>
      <c r="C241" s="43">
        <f t="shared" si="16"/>
        <v>46173</v>
      </c>
      <c r="D241" s="44">
        <f t="shared" si="17"/>
        <v>46166</v>
      </c>
      <c r="E241" s="9" t="s">
        <v>206</v>
      </c>
      <c r="F241">
        <f t="shared" si="18"/>
        <v>0</v>
      </c>
      <c r="G241">
        <f t="shared" si="19"/>
        <v>0</v>
      </c>
      <c r="AJ241" s="40">
        <v>46166</v>
      </c>
      <c r="AK241" s="9" t="s">
        <v>43</v>
      </c>
      <c r="AL241" s="9" t="s">
        <v>206</v>
      </c>
      <c r="AM241" s="9"/>
      <c r="AN241" s="9">
        <v>58</v>
      </c>
      <c r="AO241" s="9">
        <v>56</v>
      </c>
      <c r="AP241" s="9">
        <v>64</v>
      </c>
      <c r="AQ241" s="9">
        <v>0</v>
      </c>
      <c r="AR241" s="9">
        <v>19</v>
      </c>
      <c r="AS241" s="9">
        <v>26</v>
      </c>
      <c r="AT241" s="9">
        <v>22</v>
      </c>
      <c r="AU241" s="9">
        <v>20</v>
      </c>
      <c r="AV241" s="9">
        <v>14</v>
      </c>
      <c r="AW241" s="9">
        <v>11</v>
      </c>
      <c r="AX241" s="9">
        <v>9</v>
      </c>
      <c r="AY241" s="9">
        <v>16</v>
      </c>
      <c r="AZ241" s="9">
        <v>0</v>
      </c>
    </row>
    <row r="242" spans="2:52">
      <c r="B242" t="str">
        <f t="shared" si="15"/>
        <v>May</v>
      </c>
      <c r="C242" s="43">
        <f t="shared" si="16"/>
        <v>46173</v>
      </c>
      <c r="D242" s="44">
        <f t="shared" si="17"/>
        <v>46166</v>
      </c>
      <c r="E242" s="9" t="s">
        <v>207</v>
      </c>
      <c r="F242">
        <f t="shared" si="18"/>
        <v>0</v>
      </c>
      <c r="G242">
        <f t="shared" si="19"/>
        <v>1</v>
      </c>
      <c r="AJ242" s="40">
        <v>46166</v>
      </c>
      <c r="AK242" s="9" t="s">
        <v>203</v>
      </c>
      <c r="AL242" s="9" t="s">
        <v>207</v>
      </c>
      <c r="AM242" s="9"/>
      <c r="AN242" s="9">
        <v>0</v>
      </c>
      <c r="AO242" s="9">
        <v>8</v>
      </c>
      <c r="AP242" s="9">
        <v>10</v>
      </c>
      <c r="AQ242" s="9">
        <v>0</v>
      </c>
      <c r="AR242" s="9">
        <v>32</v>
      </c>
      <c r="AS242" s="9">
        <v>40</v>
      </c>
      <c r="AT242" s="9">
        <v>48</v>
      </c>
      <c r="AU242" s="9">
        <v>0</v>
      </c>
      <c r="AV242" s="9">
        <v>0</v>
      </c>
      <c r="AW242" s="9">
        <v>25</v>
      </c>
      <c r="AX242" s="9">
        <v>27</v>
      </c>
      <c r="AY242" s="9">
        <v>27</v>
      </c>
      <c r="AZ242" s="9">
        <v>21</v>
      </c>
    </row>
    <row r="243" spans="2:52">
      <c r="B243" t="str">
        <f t="shared" si="15"/>
        <v>May</v>
      </c>
      <c r="C243" s="43">
        <f t="shared" si="16"/>
        <v>46173</v>
      </c>
      <c r="D243" s="44">
        <f t="shared" si="17"/>
        <v>46166</v>
      </c>
      <c r="E243" s="9" t="s">
        <v>42</v>
      </c>
      <c r="F243">
        <f t="shared" si="18"/>
        <v>0</v>
      </c>
      <c r="G243">
        <f t="shared" si="19"/>
        <v>-122</v>
      </c>
      <c r="AJ243" s="40">
        <v>46166</v>
      </c>
      <c r="AK243" s="9" t="s">
        <v>42</v>
      </c>
      <c r="AL243" s="9" t="s">
        <v>42</v>
      </c>
      <c r="AM243" s="9"/>
      <c r="AN243" s="9">
        <v>20</v>
      </c>
      <c r="AO243" s="9">
        <v>27</v>
      </c>
      <c r="AP243" s="9">
        <v>0</v>
      </c>
      <c r="AQ243" s="9">
        <v>5</v>
      </c>
      <c r="AR243" s="9">
        <v>4</v>
      </c>
      <c r="AS243" s="9">
        <v>10</v>
      </c>
      <c r="AT243" s="9">
        <v>5</v>
      </c>
      <c r="AU243" s="9">
        <v>3</v>
      </c>
      <c r="AV243" s="9">
        <v>0</v>
      </c>
      <c r="AW243" s="9">
        <v>12</v>
      </c>
      <c r="AX243" s="9">
        <v>16</v>
      </c>
      <c r="AY243" s="9">
        <v>17</v>
      </c>
      <c r="AZ243" s="9">
        <v>0</v>
      </c>
    </row>
    <row r="244" spans="2:52">
      <c r="B244" t="str">
        <f t="shared" si="15"/>
        <v>May</v>
      </c>
      <c r="C244" s="43">
        <f t="shared" si="16"/>
        <v>46173</v>
      </c>
      <c r="D244" s="44">
        <f t="shared" si="17"/>
        <v>46167</v>
      </c>
      <c r="E244" s="9" t="s">
        <v>31</v>
      </c>
      <c r="F244">
        <f t="shared" si="18"/>
        <v>0</v>
      </c>
      <c r="G244">
        <f t="shared" si="19"/>
        <v>10</v>
      </c>
      <c r="AJ244" s="40">
        <v>46167</v>
      </c>
      <c r="AK244" s="9" t="s">
        <v>204</v>
      </c>
      <c r="AL244" s="9" t="s">
        <v>31</v>
      </c>
      <c r="AM244" s="9"/>
      <c r="AN244" s="9">
        <v>50</v>
      </c>
      <c r="AO244" s="9">
        <v>58</v>
      </c>
      <c r="AP244" s="9">
        <v>41</v>
      </c>
      <c r="AQ244" s="9">
        <v>21</v>
      </c>
      <c r="AR244" s="9">
        <v>29</v>
      </c>
      <c r="AS244" s="9">
        <v>18</v>
      </c>
      <c r="AT244" s="9">
        <v>3</v>
      </c>
      <c r="AU244" s="9">
        <v>0</v>
      </c>
      <c r="AV244" s="9">
        <v>2</v>
      </c>
      <c r="AW244" s="9">
        <v>9</v>
      </c>
      <c r="AX244" s="9">
        <v>18</v>
      </c>
      <c r="AY244" s="9">
        <v>17</v>
      </c>
      <c r="AZ244" s="9">
        <v>10</v>
      </c>
    </row>
    <row r="245" spans="2:52">
      <c r="B245" t="str">
        <f t="shared" si="15"/>
        <v>May</v>
      </c>
      <c r="C245" s="43">
        <f t="shared" si="16"/>
        <v>46173</v>
      </c>
      <c r="D245" s="44">
        <f t="shared" si="17"/>
        <v>46167</v>
      </c>
      <c r="E245" s="9" t="s">
        <v>39</v>
      </c>
      <c r="F245">
        <f t="shared" si="18"/>
        <v>0</v>
      </c>
      <c r="G245">
        <f t="shared" si="19"/>
        <v>-125</v>
      </c>
      <c r="AJ245" s="40">
        <v>46167</v>
      </c>
      <c r="AK245" s="9" t="s">
        <v>205</v>
      </c>
      <c r="AL245" s="9" t="s">
        <v>39</v>
      </c>
      <c r="AM245" s="9"/>
      <c r="AN245" s="9">
        <v>77</v>
      </c>
      <c r="AO245" s="9">
        <v>65</v>
      </c>
      <c r="AP245" s="9">
        <v>58</v>
      </c>
      <c r="AQ245" s="9">
        <v>57</v>
      </c>
      <c r="AR245" s="9">
        <v>53</v>
      </c>
      <c r="AS245" s="9">
        <v>64</v>
      </c>
      <c r="AT245" s="9">
        <v>81</v>
      </c>
      <c r="AU245" s="9">
        <v>70</v>
      </c>
      <c r="AV245" s="9">
        <v>67</v>
      </c>
      <c r="AW245" s="9">
        <v>0</v>
      </c>
      <c r="AX245" s="9">
        <v>0</v>
      </c>
      <c r="AY245" s="9">
        <v>0</v>
      </c>
      <c r="AZ245" s="9">
        <v>30</v>
      </c>
    </row>
    <row r="246" spans="2:52">
      <c r="B246" t="str">
        <f t="shared" si="15"/>
        <v>May</v>
      </c>
      <c r="C246" s="43">
        <f t="shared" si="16"/>
        <v>46173</v>
      </c>
      <c r="D246" s="44">
        <f t="shared" si="17"/>
        <v>46167</v>
      </c>
      <c r="E246" s="9" t="s">
        <v>40</v>
      </c>
      <c r="F246">
        <f t="shared" si="18"/>
        <v>0</v>
      </c>
      <c r="G246">
        <f t="shared" si="19"/>
        <v>-78</v>
      </c>
      <c r="AJ246" s="40">
        <v>46167</v>
      </c>
      <c r="AK246" s="9" t="s">
        <v>205</v>
      </c>
      <c r="AL246" s="9" t="s">
        <v>40</v>
      </c>
      <c r="AM246" s="9"/>
      <c r="AN246" s="9">
        <v>16</v>
      </c>
      <c r="AO246" s="9">
        <v>6</v>
      </c>
      <c r="AP246" s="9">
        <v>13</v>
      </c>
      <c r="AQ246" s="9">
        <v>15</v>
      </c>
      <c r="AR246" s="9">
        <v>26</v>
      </c>
      <c r="AS246" s="9">
        <v>62</v>
      </c>
      <c r="AT246" s="9">
        <v>202</v>
      </c>
      <c r="AU246" s="9">
        <v>199</v>
      </c>
      <c r="AV246" s="9">
        <v>180</v>
      </c>
      <c r="AW246" s="9">
        <v>203</v>
      </c>
      <c r="AX246" s="9">
        <v>240</v>
      </c>
      <c r="AY246" s="9">
        <v>0</v>
      </c>
      <c r="AZ246" s="9">
        <v>0</v>
      </c>
    </row>
    <row r="247" spans="2:52">
      <c r="B247" t="str">
        <f t="shared" si="15"/>
        <v>May</v>
      </c>
      <c r="C247" s="43">
        <f t="shared" si="16"/>
        <v>46173</v>
      </c>
      <c r="D247" s="44">
        <f t="shared" si="17"/>
        <v>46167</v>
      </c>
      <c r="E247" s="9" t="s">
        <v>41</v>
      </c>
      <c r="F247">
        <f t="shared" si="18"/>
        <v>0</v>
      </c>
      <c r="G247">
        <f t="shared" si="19"/>
        <v>0</v>
      </c>
      <c r="AJ247" s="40">
        <v>46167</v>
      </c>
      <c r="AK247" s="9" t="s">
        <v>41</v>
      </c>
      <c r="AL247" s="9" t="s">
        <v>41</v>
      </c>
      <c r="AM247" s="9"/>
      <c r="AN247" s="9">
        <v>26</v>
      </c>
      <c r="AO247" s="9">
        <v>76</v>
      </c>
      <c r="AP247" s="9">
        <v>73</v>
      </c>
      <c r="AQ247" s="9">
        <v>0</v>
      </c>
      <c r="AR247" s="9">
        <v>0</v>
      </c>
      <c r="AS247" s="9">
        <v>0</v>
      </c>
      <c r="AT247" s="9">
        <v>14</v>
      </c>
      <c r="AU247" s="9">
        <v>0</v>
      </c>
      <c r="AV247" s="9">
        <v>0</v>
      </c>
      <c r="AW247" s="9">
        <v>5</v>
      </c>
      <c r="AX247" s="9">
        <v>5</v>
      </c>
      <c r="AY247" s="9">
        <v>4</v>
      </c>
      <c r="AZ247" s="9">
        <v>0</v>
      </c>
    </row>
    <row r="248" spans="2:52">
      <c r="B248" t="str">
        <f t="shared" si="15"/>
        <v>May</v>
      </c>
      <c r="C248" s="43">
        <f t="shared" si="16"/>
        <v>46173</v>
      </c>
      <c r="D248" s="44">
        <f t="shared" si="17"/>
        <v>46167</v>
      </c>
      <c r="E248" s="9" t="s">
        <v>45</v>
      </c>
      <c r="F248">
        <f t="shared" si="18"/>
        <v>0</v>
      </c>
      <c r="G248">
        <f t="shared" si="19"/>
        <v>141</v>
      </c>
      <c r="AJ248" s="40">
        <v>46167</v>
      </c>
      <c r="AK248" s="9" t="s">
        <v>202</v>
      </c>
      <c r="AL248" s="9" t="s">
        <v>45</v>
      </c>
      <c r="AM248" s="9"/>
      <c r="AN248" s="9">
        <v>0</v>
      </c>
      <c r="AO248" s="9">
        <v>2</v>
      </c>
      <c r="AP248" s="9">
        <v>10</v>
      </c>
      <c r="AQ248" s="9">
        <v>6</v>
      </c>
      <c r="AR248" s="9">
        <v>0</v>
      </c>
      <c r="AS248" s="9">
        <v>24</v>
      </c>
      <c r="AT248" s="9">
        <v>17</v>
      </c>
      <c r="AU248" s="9">
        <v>81</v>
      </c>
      <c r="AV248" s="9">
        <v>157</v>
      </c>
      <c r="AW248" s="9">
        <v>158</v>
      </c>
      <c r="AX248" s="9">
        <v>164</v>
      </c>
      <c r="AY248" s="9">
        <v>172</v>
      </c>
      <c r="AZ248" s="9">
        <v>172</v>
      </c>
    </row>
    <row r="249" spans="2:52">
      <c r="B249" t="str">
        <f t="shared" si="15"/>
        <v>May</v>
      </c>
      <c r="C249" s="43">
        <f t="shared" si="16"/>
        <v>46173</v>
      </c>
      <c r="D249" s="44">
        <f t="shared" si="17"/>
        <v>46167</v>
      </c>
      <c r="E249" s="9" t="s">
        <v>46</v>
      </c>
      <c r="F249">
        <f t="shared" si="18"/>
        <v>0</v>
      </c>
      <c r="G249">
        <f t="shared" si="19"/>
        <v>49</v>
      </c>
      <c r="AJ249" s="40">
        <v>46167</v>
      </c>
      <c r="AK249" s="9" t="s">
        <v>202</v>
      </c>
      <c r="AL249" s="9" t="s">
        <v>46</v>
      </c>
      <c r="AM249" s="9"/>
      <c r="AN249" s="9">
        <v>22</v>
      </c>
      <c r="AO249" s="9">
        <v>19</v>
      </c>
      <c r="AP249" s="9">
        <v>22</v>
      </c>
      <c r="AQ249" s="9">
        <v>20</v>
      </c>
      <c r="AR249" s="9">
        <v>0</v>
      </c>
      <c r="AS249" s="9">
        <v>2</v>
      </c>
      <c r="AT249" s="9">
        <v>0</v>
      </c>
      <c r="AU249" s="9">
        <v>0</v>
      </c>
      <c r="AV249" s="9">
        <v>3</v>
      </c>
      <c r="AW249" s="9">
        <v>4</v>
      </c>
      <c r="AX249" s="9">
        <v>3</v>
      </c>
      <c r="AY249" s="9">
        <v>25</v>
      </c>
      <c r="AZ249" s="9">
        <v>49</v>
      </c>
    </row>
    <row r="250" spans="2:52">
      <c r="B250" t="str">
        <f t="shared" si="15"/>
        <v>May</v>
      </c>
      <c r="C250" s="43">
        <f t="shared" si="16"/>
        <v>46173</v>
      </c>
      <c r="D250" s="44">
        <f t="shared" si="17"/>
        <v>46167</v>
      </c>
      <c r="E250" s="9" t="s">
        <v>47</v>
      </c>
      <c r="F250">
        <f t="shared" si="18"/>
        <v>0</v>
      </c>
      <c r="G250">
        <f t="shared" si="19"/>
        <v>14</v>
      </c>
      <c r="AJ250" s="40">
        <v>46167</v>
      </c>
      <c r="AK250" s="9" t="s">
        <v>202</v>
      </c>
      <c r="AL250" s="9" t="s">
        <v>47</v>
      </c>
      <c r="AM250" s="9"/>
      <c r="AN250" s="9">
        <v>0</v>
      </c>
      <c r="AO250" s="9">
        <v>14</v>
      </c>
      <c r="AP250" s="9">
        <v>0</v>
      </c>
      <c r="AQ250" s="9">
        <v>0</v>
      </c>
      <c r="AR250" s="9">
        <v>0</v>
      </c>
      <c r="AS250" s="9">
        <v>0</v>
      </c>
      <c r="AT250" s="9">
        <v>0</v>
      </c>
      <c r="AU250" s="9">
        <v>0</v>
      </c>
      <c r="AV250" s="9">
        <v>0</v>
      </c>
      <c r="AW250" s="9">
        <v>0</v>
      </c>
      <c r="AX250" s="9">
        <v>8</v>
      </c>
      <c r="AY250" s="9">
        <v>13</v>
      </c>
      <c r="AZ250" s="9">
        <v>14</v>
      </c>
    </row>
    <row r="251" spans="2:52">
      <c r="B251" t="str">
        <f t="shared" si="15"/>
        <v>May</v>
      </c>
      <c r="C251" s="43">
        <f t="shared" si="16"/>
        <v>46173</v>
      </c>
      <c r="D251" s="44">
        <f t="shared" si="17"/>
        <v>46167</v>
      </c>
      <c r="E251" s="9" t="s">
        <v>206</v>
      </c>
      <c r="F251">
        <f t="shared" si="18"/>
        <v>0</v>
      </c>
      <c r="G251">
        <f t="shared" si="19"/>
        <v>0</v>
      </c>
      <c r="AJ251" s="40">
        <v>46167</v>
      </c>
      <c r="AK251" s="9" t="s">
        <v>43</v>
      </c>
      <c r="AL251" s="9" t="s">
        <v>206</v>
      </c>
      <c r="AM251" s="9"/>
      <c r="AN251" s="9">
        <v>69</v>
      </c>
      <c r="AO251" s="9">
        <v>78</v>
      </c>
      <c r="AP251" s="9">
        <v>88</v>
      </c>
      <c r="AQ251" s="9">
        <v>92</v>
      </c>
      <c r="AR251" s="9">
        <v>95</v>
      </c>
      <c r="AS251" s="9">
        <v>92</v>
      </c>
      <c r="AT251" s="9">
        <v>51</v>
      </c>
      <c r="AU251" s="9">
        <v>43</v>
      </c>
      <c r="AV251" s="9">
        <v>0</v>
      </c>
      <c r="AW251" s="9">
        <v>8</v>
      </c>
      <c r="AX251" s="9">
        <v>154</v>
      </c>
      <c r="AY251" s="9">
        <v>185</v>
      </c>
      <c r="AZ251" s="9">
        <v>0</v>
      </c>
    </row>
    <row r="252" spans="2:52">
      <c r="B252" t="str">
        <f t="shared" si="15"/>
        <v>May</v>
      </c>
      <c r="C252" s="43">
        <f t="shared" si="16"/>
        <v>46173</v>
      </c>
      <c r="D252" s="44">
        <f t="shared" si="17"/>
        <v>46167</v>
      </c>
      <c r="E252" s="9" t="s">
        <v>207</v>
      </c>
      <c r="F252">
        <f t="shared" si="18"/>
        <v>0</v>
      </c>
      <c r="G252">
        <f t="shared" si="19"/>
        <v>3</v>
      </c>
      <c r="AJ252" s="40">
        <v>46167</v>
      </c>
      <c r="AK252" s="9" t="s">
        <v>203</v>
      </c>
      <c r="AL252" s="9" t="s">
        <v>207</v>
      </c>
      <c r="AM252" s="9"/>
      <c r="AN252" s="9">
        <v>19</v>
      </c>
      <c r="AO252" s="9">
        <v>17</v>
      </c>
      <c r="AP252" s="9">
        <v>17</v>
      </c>
      <c r="AQ252" s="9">
        <v>0</v>
      </c>
      <c r="AR252" s="9">
        <v>31</v>
      </c>
      <c r="AS252" s="9">
        <v>33</v>
      </c>
      <c r="AT252" s="9">
        <v>37</v>
      </c>
      <c r="AU252" s="9">
        <v>96</v>
      </c>
      <c r="AV252" s="9">
        <v>92</v>
      </c>
      <c r="AW252" s="9">
        <v>98</v>
      </c>
      <c r="AX252" s="9">
        <v>0</v>
      </c>
      <c r="AY252" s="9">
        <v>26</v>
      </c>
      <c r="AZ252" s="9">
        <v>24</v>
      </c>
    </row>
    <row r="253" spans="2:52">
      <c r="B253" t="str">
        <f t="shared" si="15"/>
        <v>May</v>
      </c>
      <c r="C253" s="43">
        <f t="shared" si="16"/>
        <v>46173</v>
      </c>
      <c r="D253" s="44">
        <f t="shared" si="17"/>
        <v>46167</v>
      </c>
      <c r="E253" s="9" t="s">
        <v>42</v>
      </c>
      <c r="F253">
        <f t="shared" si="18"/>
        <v>0</v>
      </c>
      <c r="G253">
        <f t="shared" si="19"/>
        <v>20</v>
      </c>
      <c r="AJ253" s="40">
        <v>46167</v>
      </c>
      <c r="AK253" s="9" t="s">
        <v>42</v>
      </c>
      <c r="AL253" s="9" t="s">
        <v>42</v>
      </c>
      <c r="AM253" s="9"/>
      <c r="AN253" s="9">
        <v>0</v>
      </c>
      <c r="AO253" s="9">
        <v>15</v>
      </c>
      <c r="AP253" s="9">
        <v>12</v>
      </c>
      <c r="AQ253" s="9">
        <v>12</v>
      </c>
      <c r="AR253" s="9">
        <v>0</v>
      </c>
      <c r="AS253" s="9">
        <v>9</v>
      </c>
      <c r="AT253" s="9">
        <v>0</v>
      </c>
      <c r="AU253" s="9">
        <v>0</v>
      </c>
      <c r="AV253" s="9">
        <v>0</v>
      </c>
      <c r="AW253" s="9">
        <v>0</v>
      </c>
      <c r="AX253" s="9">
        <v>0</v>
      </c>
      <c r="AY253" s="9">
        <v>18</v>
      </c>
      <c r="AZ253" s="9">
        <v>20</v>
      </c>
    </row>
    <row r="254" spans="2:52">
      <c r="B254" t="str">
        <f t="shared" si="15"/>
        <v>May</v>
      </c>
      <c r="C254" s="43">
        <f t="shared" si="16"/>
        <v>46173</v>
      </c>
      <c r="D254" s="44">
        <f t="shared" si="17"/>
        <v>46168</v>
      </c>
      <c r="E254" s="9" t="s">
        <v>31</v>
      </c>
      <c r="F254">
        <f t="shared" si="18"/>
        <v>0</v>
      </c>
      <c r="G254">
        <f t="shared" si="19"/>
        <v>-10</v>
      </c>
      <c r="AJ254" s="40">
        <v>46168</v>
      </c>
      <c r="AK254" s="9" t="s">
        <v>204</v>
      </c>
      <c r="AL254" s="9" t="s">
        <v>31</v>
      </c>
      <c r="AM254" s="9"/>
      <c r="AN254" s="9">
        <v>145</v>
      </c>
      <c r="AO254" s="9">
        <v>129</v>
      </c>
      <c r="AP254" s="9">
        <v>125</v>
      </c>
      <c r="AQ254" s="9">
        <v>135</v>
      </c>
      <c r="AR254" s="9">
        <v>123</v>
      </c>
      <c r="AS254" s="9">
        <v>137</v>
      </c>
      <c r="AT254" s="9">
        <v>145</v>
      </c>
      <c r="AU254" s="9">
        <v>199</v>
      </c>
      <c r="AV254" s="9">
        <v>206</v>
      </c>
      <c r="AW254" s="9">
        <v>0</v>
      </c>
      <c r="AX254" s="9">
        <v>5</v>
      </c>
      <c r="AY254" s="9">
        <v>3</v>
      </c>
      <c r="AZ254" s="9">
        <v>0</v>
      </c>
    </row>
    <row r="255" spans="2:52">
      <c r="B255" t="str">
        <f t="shared" si="15"/>
        <v>May</v>
      </c>
      <c r="C255" s="43">
        <f t="shared" si="16"/>
        <v>46173</v>
      </c>
      <c r="D255" s="44">
        <f t="shared" si="17"/>
        <v>46168</v>
      </c>
      <c r="E255" s="9" t="s">
        <v>39</v>
      </c>
      <c r="F255">
        <f t="shared" si="18"/>
        <v>0</v>
      </c>
      <c r="G255">
        <f t="shared" si="19"/>
        <v>-12</v>
      </c>
      <c r="AJ255" s="40">
        <v>46168</v>
      </c>
      <c r="AK255" s="9" t="s">
        <v>205</v>
      </c>
      <c r="AL255" s="9" t="s">
        <v>39</v>
      </c>
      <c r="AM255" s="9"/>
      <c r="AN255" s="9">
        <v>67</v>
      </c>
      <c r="AO255" s="9">
        <v>57</v>
      </c>
      <c r="AP255" s="9">
        <v>48</v>
      </c>
      <c r="AQ255" s="9">
        <v>64</v>
      </c>
      <c r="AR255" s="9">
        <v>79</v>
      </c>
      <c r="AS255" s="9">
        <v>87</v>
      </c>
      <c r="AT255" s="9">
        <v>64</v>
      </c>
      <c r="AU255" s="9">
        <v>71</v>
      </c>
      <c r="AV255" s="9">
        <v>63</v>
      </c>
      <c r="AW255" s="9">
        <v>0</v>
      </c>
      <c r="AX255" s="9">
        <v>18</v>
      </c>
      <c r="AY255" s="9">
        <v>19</v>
      </c>
      <c r="AZ255" s="9">
        <v>18</v>
      </c>
    </row>
    <row r="256" spans="2:52">
      <c r="B256" t="str">
        <f t="shared" si="15"/>
        <v>May</v>
      </c>
      <c r="C256" s="43">
        <f t="shared" si="16"/>
        <v>46173</v>
      </c>
      <c r="D256" s="44">
        <f t="shared" si="17"/>
        <v>46168</v>
      </c>
      <c r="E256" s="9" t="s">
        <v>40</v>
      </c>
      <c r="F256">
        <f t="shared" si="18"/>
        <v>0</v>
      </c>
      <c r="G256">
        <f t="shared" si="19"/>
        <v>126</v>
      </c>
      <c r="AJ256" s="40">
        <v>46168</v>
      </c>
      <c r="AK256" s="9" t="s">
        <v>205</v>
      </c>
      <c r="AL256" s="9" t="s">
        <v>40</v>
      </c>
      <c r="AM256" s="9"/>
      <c r="AN256" s="9">
        <v>88</v>
      </c>
      <c r="AO256" s="9">
        <v>95</v>
      </c>
      <c r="AP256" s="9">
        <v>81</v>
      </c>
      <c r="AQ256" s="9">
        <v>83</v>
      </c>
      <c r="AR256" s="9">
        <v>88</v>
      </c>
      <c r="AS256" s="9">
        <v>80</v>
      </c>
      <c r="AT256" s="9">
        <v>77</v>
      </c>
      <c r="AU256" s="9">
        <v>84</v>
      </c>
      <c r="AV256" s="9">
        <v>87</v>
      </c>
      <c r="AW256" s="9">
        <v>136</v>
      </c>
      <c r="AX256" s="9">
        <v>129</v>
      </c>
      <c r="AY256" s="9">
        <v>133</v>
      </c>
      <c r="AZ256" s="9">
        <v>126</v>
      </c>
    </row>
    <row r="257" spans="2:52">
      <c r="B257" t="str">
        <f t="shared" si="15"/>
        <v>May</v>
      </c>
      <c r="C257" s="43">
        <f t="shared" si="16"/>
        <v>46173</v>
      </c>
      <c r="D257" s="44">
        <f t="shared" si="17"/>
        <v>46168</v>
      </c>
      <c r="E257" s="9" t="s">
        <v>41</v>
      </c>
      <c r="F257">
        <f t="shared" si="18"/>
        <v>0</v>
      </c>
      <c r="G257">
        <f t="shared" si="19"/>
        <v>4</v>
      </c>
      <c r="AJ257" s="40">
        <v>46168</v>
      </c>
      <c r="AK257" s="9" t="s">
        <v>41</v>
      </c>
      <c r="AL257" s="9" t="s">
        <v>41</v>
      </c>
      <c r="AM257" s="9"/>
      <c r="AN257" s="9">
        <v>20</v>
      </c>
      <c r="AO257" s="9">
        <v>20</v>
      </c>
      <c r="AP257" s="9">
        <v>21</v>
      </c>
      <c r="AQ257" s="9">
        <v>18</v>
      </c>
      <c r="AR257" s="9">
        <v>14</v>
      </c>
      <c r="AS257" s="9">
        <v>14</v>
      </c>
      <c r="AT257" s="9">
        <v>13</v>
      </c>
      <c r="AU257" s="9">
        <v>9</v>
      </c>
      <c r="AV257" s="9">
        <v>6</v>
      </c>
      <c r="AW257" s="9">
        <v>4</v>
      </c>
      <c r="AX257" s="9">
        <v>0</v>
      </c>
      <c r="AY257" s="9">
        <v>0</v>
      </c>
      <c r="AZ257" s="9">
        <v>4</v>
      </c>
    </row>
    <row r="258" spans="2:52">
      <c r="B258" t="str">
        <f t="shared" si="15"/>
        <v>May</v>
      </c>
      <c r="C258" s="43">
        <f t="shared" si="16"/>
        <v>46173</v>
      </c>
      <c r="D258" s="44">
        <f t="shared" si="17"/>
        <v>46168</v>
      </c>
      <c r="E258" s="9" t="s">
        <v>45</v>
      </c>
      <c r="F258">
        <f t="shared" si="18"/>
        <v>0</v>
      </c>
      <c r="G258">
        <f t="shared" si="19"/>
        <v>-152</v>
      </c>
      <c r="AJ258" s="40">
        <v>46168</v>
      </c>
      <c r="AK258" s="9" t="s">
        <v>202</v>
      </c>
      <c r="AL258" s="9" t="s">
        <v>45</v>
      </c>
      <c r="AM258" s="9"/>
      <c r="AN258" s="9">
        <v>16</v>
      </c>
      <c r="AO258" s="9">
        <v>0</v>
      </c>
      <c r="AP258" s="9">
        <v>23</v>
      </c>
      <c r="AQ258" s="9">
        <v>1</v>
      </c>
      <c r="AR258" s="9">
        <v>0</v>
      </c>
      <c r="AS258" s="9">
        <v>0</v>
      </c>
      <c r="AT258" s="9">
        <v>26</v>
      </c>
      <c r="AU258" s="9">
        <v>0</v>
      </c>
      <c r="AV258" s="9">
        <v>3</v>
      </c>
      <c r="AW258" s="9">
        <v>0</v>
      </c>
      <c r="AX258" s="9">
        <v>16</v>
      </c>
      <c r="AY258" s="9">
        <v>17</v>
      </c>
      <c r="AZ258" s="9">
        <v>20</v>
      </c>
    </row>
    <row r="259" spans="2:52">
      <c r="B259" t="str">
        <f t="shared" si="15"/>
        <v>May</v>
      </c>
      <c r="C259" s="43">
        <f t="shared" si="16"/>
        <v>46173</v>
      </c>
      <c r="D259" s="44">
        <f t="shared" si="17"/>
        <v>46168</v>
      </c>
      <c r="E259" s="9" t="s">
        <v>46</v>
      </c>
      <c r="F259">
        <f t="shared" si="18"/>
        <v>0</v>
      </c>
      <c r="G259">
        <f t="shared" si="19"/>
        <v>-39</v>
      </c>
      <c r="AJ259" s="40">
        <v>46168</v>
      </c>
      <c r="AK259" s="9" t="s">
        <v>202</v>
      </c>
      <c r="AL259" s="9" t="s">
        <v>46</v>
      </c>
      <c r="AM259" s="9"/>
      <c r="AN259" s="9">
        <v>59</v>
      </c>
      <c r="AO259" s="9">
        <v>0</v>
      </c>
      <c r="AP259" s="9">
        <v>13</v>
      </c>
      <c r="AQ259" s="9">
        <v>0</v>
      </c>
      <c r="AR259" s="9">
        <v>8</v>
      </c>
      <c r="AS259" s="9">
        <v>0</v>
      </c>
      <c r="AT259" s="9">
        <v>0</v>
      </c>
      <c r="AU259" s="9">
        <v>6</v>
      </c>
      <c r="AV259" s="9">
        <v>11</v>
      </c>
      <c r="AW259" s="9">
        <v>8</v>
      </c>
      <c r="AX259" s="9">
        <v>8</v>
      </c>
      <c r="AY259" s="9">
        <v>10</v>
      </c>
      <c r="AZ259" s="9">
        <v>10</v>
      </c>
    </row>
    <row r="260" spans="2:52">
      <c r="B260" t="str">
        <f t="shared" si="15"/>
        <v>May</v>
      </c>
      <c r="C260" s="43">
        <f t="shared" si="16"/>
        <v>46173</v>
      </c>
      <c r="D260" s="44">
        <f t="shared" si="17"/>
        <v>46168</v>
      </c>
      <c r="E260" s="9" t="s">
        <v>47</v>
      </c>
      <c r="F260">
        <f t="shared" si="18"/>
        <v>0</v>
      </c>
      <c r="G260">
        <f t="shared" si="19"/>
        <v>-13</v>
      </c>
      <c r="AJ260" s="40">
        <v>46168</v>
      </c>
      <c r="AK260" s="9" t="s">
        <v>202</v>
      </c>
      <c r="AL260" s="9" t="s">
        <v>47</v>
      </c>
      <c r="AM260" s="9"/>
      <c r="AN260" s="9">
        <v>3</v>
      </c>
      <c r="AO260" s="9">
        <v>2</v>
      </c>
      <c r="AP260" s="9">
        <v>7</v>
      </c>
      <c r="AQ260" s="9">
        <v>110</v>
      </c>
      <c r="AR260" s="9">
        <v>130</v>
      </c>
      <c r="AS260" s="9">
        <v>130</v>
      </c>
      <c r="AT260" s="9">
        <v>129</v>
      </c>
      <c r="AU260" s="9">
        <v>114</v>
      </c>
      <c r="AV260" s="9">
        <v>111</v>
      </c>
      <c r="AW260" s="9">
        <v>0</v>
      </c>
      <c r="AX260" s="9">
        <v>0</v>
      </c>
      <c r="AY260" s="9">
        <v>0</v>
      </c>
      <c r="AZ260" s="9">
        <v>1</v>
      </c>
    </row>
    <row r="261" spans="2:52">
      <c r="B261" t="str">
        <f t="shared" ref="B261:B324" si="20">TEXT(C261,"MMM")</f>
        <v>May</v>
      </c>
      <c r="C261" s="43">
        <f t="shared" ref="C261:C324" si="21">AJ261+(8-WEEKDAY(AJ261))</f>
        <v>46173</v>
      </c>
      <c r="D261" s="44">
        <f t="shared" ref="D261:D324" si="22">AJ261</f>
        <v>46168</v>
      </c>
      <c r="E261" s="9" t="s">
        <v>206</v>
      </c>
      <c r="F261">
        <f t="shared" ref="F261:F324" si="23">IF(SUM(V261:AI261)&lt;=0,0,SUM(V261:AI261))</f>
        <v>0</v>
      </c>
      <c r="G261">
        <f t="shared" si="19"/>
        <v>12</v>
      </c>
      <c r="AJ261" s="40">
        <v>46168</v>
      </c>
      <c r="AK261" s="9" t="s">
        <v>43</v>
      </c>
      <c r="AL261" s="9" t="s">
        <v>206</v>
      </c>
      <c r="AM261" s="9"/>
      <c r="AN261" s="9">
        <v>165</v>
      </c>
      <c r="AO261" s="9">
        <v>0</v>
      </c>
      <c r="AP261" s="9">
        <v>0</v>
      </c>
      <c r="AQ261" s="9">
        <v>35</v>
      </c>
      <c r="AR261" s="9">
        <v>33</v>
      </c>
      <c r="AS261" s="9">
        <v>38</v>
      </c>
      <c r="AT261" s="9">
        <v>37</v>
      </c>
      <c r="AU261" s="9">
        <v>45</v>
      </c>
      <c r="AV261" s="9">
        <v>5</v>
      </c>
      <c r="AW261" s="9">
        <v>10</v>
      </c>
      <c r="AX261" s="9">
        <v>0</v>
      </c>
      <c r="AY261" s="9">
        <v>3</v>
      </c>
      <c r="AZ261" s="9">
        <v>12</v>
      </c>
    </row>
    <row r="262" spans="2:52">
      <c r="B262" t="str">
        <f t="shared" si="20"/>
        <v>May</v>
      </c>
      <c r="C262" s="43">
        <f t="shared" si="21"/>
        <v>46173</v>
      </c>
      <c r="D262" s="44">
        <f t="shared" si="22"/>
        <v>46168</v>
      </c>
      <c r="E262" s="9" t="s">
        <v>207</v>
      </c>
      <c r="F262">
        <f t="shared" si="23"/>
        <v>0</v>
      </c>
      <c r="G262">
        <f t="shared" si="19"/>
        <v>5</v>
      </c>
      <c r="AJ262" s="40">
        <v>46168</v>
      </c>
      <c r="AK262" s="9" t="s">
        <v>203</v>
      </c>
      <c r="AL262" s="9" t="s">
        <v>207</v>
      </c>
      <c r="AM262" s="9"/>
      <c r="AN262" s="9">
        <v>32</v>
      </c>
      <c r="AO262" s="9">
        <v>24</v>
      </c>
      <c r="AP262" s="9">
        <v>30</v>
      </c>
      <c r="AQ262" s="9">
        <v>27</v>
      </c>
      <c r="AR262" s="9">
        <v>0</v>
      </c>
      <c r="AS262" s="9">
        <v>0</v>
      </c>
      <c r="AT262" s="9">
        <v>0</v>
      </c>
      <c r="AU262" s="9">
        <v>14</v>
      </c>
      <c r="AV262" s="9">
        <v>10</v>
      </c>
      <c r="AW262" s="9">
        <v>6</v>
      </c>
      <c r="AX262" s="9">
        <v>15</v>
      </c>
      <c r="AY262" s="9">
        <v>0</v>
      </c>
      <c r="AZ262" s="9">
        <v>29</v>
      </c>
    </row>
    <row r="263" spans="2:52">
      <c r="B263" t="str">
        <f t="shared" si="20"/>
        <v>May</v>
      </c>
      <c r="C263" s="43">
        <f t="shared" si="21"/>
        <v>46173</v>
      </c>
      <c r="D263" s="44">
        <f t="shared" si="22"/>
        <v>46168</v>
      </c>
      <c r="E263" s="9" t="s">
        <v>42</v>
      </c>
      <c r="F263">
        <f t="shared" si="23"/>
        <v>0</v>
      </c>
      <c r="G263">
        <f t="shared" si="19"/>
        <v>-20</v>
      </c>
      <c r="AJ263" s="40">
        <v>46168</v>
      </c>
      <c r="AK263" s="9" t="s">
        <v>42</v>
      </c>
      <c r="AL263" s="9" t="s">
        <v>42</v>
      </c>
      <c r="AM263" s="9"/>
      <c r="AN263" s="9">
        <v>30</v>
      </c>
      <c r="AO263" s="9">
        <v>29</v>
      </c>
      <c r="AP263" s="9">
        <v>32</v>
      </c>
      <c r="AQ263" s="9">
        <v>0</v>
      </c>
      <c r="AR263" s="9">
        <v>0</v>
      </c>
      <c r="AS263" s="9">
        <v>1</v>
      </c>
      <c r="AT263" s="9">
        <v>0</v>
      </c>
      <c r="AU263" s="9">
        <v>0</v>
      </c>
      <c r="AV263" s="9">
        <v>3</v>
      </c>
      <c r="AW263" s="9">
        <v>7</v>
      </c>
      <c r="AX263" s="9">
        <v>11</v>
      </c>
      <c r="AY263" s="9">
        <v>17</v>
      </c>
      <c r="AZ263" s="9">
        <v>0</v>
      </c>
    </row>
    <row r="264" spans="2:52">
      <c r="B264" t="str">
        <f t="shared" si="20"/>
        <v>May</v>
      </c>
      <c r="C264" s="43">
        <f t="shared" si="21"/>
        <v>46173</v>
      </c>
      <c r="D264" s="44">
        <f t="shared" si="22"/>
        <v>46169</v>
      </c>
      <c r="E264" s="9" t="s">
        <v>31</v>
      </c>
      <c r="F264">
        <f t="shared" si="23"/>
        <v>0</v>
      </c>
      <c r="G264">
        <f t="shared" si="19"/>
        <v>155</v>
      </c>
      <c r="AJ264" s="40">
        <v>46169</v>
      </c>
      <c r="AK264" s="9" t="s">
        <v>204</v>
      </c>
      <c r="AL264" s="9" t="s">
        <v>31</v>
      </c>
      <c r="AM264" s="9"/>
      <c r="AN264" s="9">
        <v>139</v>
      </c>
      <c r="AO264" s="9">
        <v>0</v>
      </c>
      <c r="AP264" s="9">
        <v>171</v>
      </c>
      <c r="AQ264" s="9">
        <v>188</v>
      </c>
      <c r="AR264" s="9">
        <v>203</v>
      </c>
      <c r="AS264" s="9">
        <v>204</v>
      </c>
      <c r="AT264" s="9">
        <v>219</v>
      </c>
      <c r="AU264" s="9">
        <v>207</v>
      </c>
      <c r="AV264" s="9">
        <v>191</v>
      </c>
      <c r="AW264" s="9">
        <v>190</v>
      </c>
      <c r="AX264" s="9">
        <v>195</v>
      </c>
      <c r="AY264" s="9">
        <v>179</v>
      </c>
      <c r="AZ264" s="9">
        <v>155</v>
      </c>
    </row>
    <row r="265" spans="2:52">
      <c r="B265" t="str">
        <f t="shared" si="20"/>
        <v>May</v>
      </c>
      <c r="C265" s="43">
        <f t="shared" si="21"/>
        <v>46173</v>
      </c>
      <c r="D265" s="44">
        <f t="shared" si="22"/>
        <v>46169</v>
      </c>
      <c r="E265" s="9" t="s">
        <v>39</v>
      </c>
      <c r="F265">
        <f t="shared" si="23"/>
        <v>0</v>
      </c>
      <c r="G265">
        <f t="shared" si="19"/>
        <v>65</v>
      </c>
      <c r="AJ265" s="40">
        <v>46169</v>
      </c>
      <c r="AK265" s="9" t="s">
        <v>205</v>
      </c>
      <c r="AL265" s="9" t="s">
        <v>39</v>
      </c>
      <c r="AM265" s="9"/>
      <c r="AN265" s="9">
        <v>60</v>
      </c>
      <c r="AO265" s="9">
        <v>68</v>
      </c>
      <c r="AP265" s="9">
        <v>85</v>
      </c>
      <c r="AQ265" s="9">
        <v>93</v>
      </c>
      <c r="AR265" s="9">
        <v>94</v>
      </c>
      <c r="AS265" s="9">
        <v>130</v>
      </c>
      <c r="AT265" s="9">
        <v>85</v>
      </c>
      <c r="AU265" s="9">
        <v>101</v>
      </c>
      <c r="AV265" s="9">
        <v>91</v>
      </c>
      <c r="AW265" s="9">
        <v>97</v>
      </c>
      <c r="AX265" s="9">
        <v>108</v>
      </c>
      <c r="AY265" s="9">
        <v>118</v>
      </c>
      <c r="AZ265" s="9">
        <v>83</v>
      </c>
    </row>
    <row r="266" spans="2:52">
      <c r="B266" t="str">
        <f t="shared" si="20"/>
        <v>May</v>
      </c>
      <c r="C266" s="43">
        <f t="shared" si="21"/>
        <v>46173</v>
      </c>
      <c r="D266" s="44">
        <f t="shared" si="22"/>
        <v>46169</v>
      </c>
      <c r="E266" s="9" t="s">
        <v>40</v>
      </c>
      <c r="F266">
        <f t="shared" si="23"/>
        <v>0</v>
      </c>
      <c r="G266">
        <f t="shared" si="19"/>
        <v>-55</v>
      </c>
      <c r="AJ266" s="40">
        <v>46169</v>
      </c>
      <c r="AK266" s="9" t="s">
        <v>205</v>
      </c>
      <c r="AL266" s="9" t="s">
        <v>40</v>
      </c>
      <c r="AM266" s="9"/>
      <c r="AN266" s="9">
        <v>59</v>
      </c>
      <c r="AO266" s="9">
        <v>119</v>
      </c>
      <c r="AP266" s="9">
        <v>112</v>
      </c>
      <c r="AQ266" s="9">
        <v>105</v>
      </c>
      <c r="AR266" s="9">
        <v>103</v>
      </c>
      <c r="AS266" s="9">
        <v>111</v>
      </c>
      <c r="AT266" s="9">
        <v>104</v>
      </c>
      <c r="AU266" s="9">
        <v>63</v>
      </c>
      <c r="AV266" s="9">
        <v>56</v>
      </c>
      <c r="AW266" s="9">
        <v>79</v>
      </c>
      <c r="AX266" s="9">
        <v>71</v>
      </c>
      <c r="AY266" s="9">
        <v>71</v>
      </c>
      <c r="AZ266" s="9">
        <v>71</v>
      </c>
    </row>
    <row r="267" spans="2:52">
      <c r="B267" t="str">
        <f t="shared" si="20"/>
        <v>May</v>
      </c>
      <c r="C267" s="43">
        <f t="shared" si="21"/>
        <v>46173</v>
      </c>
      <c r="D267" s="44">
        <f t="shared" si="22"/>
        <v>46169</v>
      </c>
      <c r="E267" s="9" t="s">
        <v>41</v>
      </c>
      <c r="F267">
        <f t="shared" si="23"/>
        <v>0</v>
      </c>
      <c r="G267">
        <f t="shared" si="19"/>
        <v>11</v>
      </c>
      <c r="AJ267" s="40">
        <v>46169</v>
      </c>
      <c r="AK267" s="9" t="s">
        <v>41</v>
      </c>
      <c r="AL267" s="9" t="s">
        <v>41</v>
      </c>
      <c r="AM267" s="9"/>
      <c r="AN267" s="9">
        <v>94</v>
      </c>
      <c r="AO267" s="9">
        <v>97</v>
      </c>
      <c r="AP267" s="9">
        <v>100</v>
      </c>
      <c r="AQ267" s="9">
        <v>61</v>
      </c>
      <c r="AR267" s="9">
        <v>0</v>
      </c>
      <c r="AS267" s="9">
        <v>16</v>
      </c>
      <c r="AT267" s="9">
        <v>13</v>
      </c>
      <c r="AU267" s="9">
        <v>16</v>
      </c>
      <c r="AV267" s="9">
        <v>17</v>
      </c>
      <c r="AW267" s="9">
        <v>19</v>
      </c>
      <c r="AX267" s="9">
        <v>15</v>
      </c>
      <c r="AY267" s="9">
        <v>12</v>
      </c>
      <c r="AZ267" s="9">
        <v>15</v>
      </c>
    </row>
    <row r="268" spans="2:52">
      <c r="B268" t="str">
        <f t="shared" si="20"/>
        <v>May</v>
      </c>
      <c r="C268" s="43">
        <f t="shared" si="21"/>
        <v>46173</v>
      </c>
      <c r="D268" s="44">
        <f t="shared" si="22"/>
        <v>46169</v>
      </c>
      <c r="E268" s="9" t="s">
        <v>45</v>
      </c>
      <c r="F268">
        <f t="shared" si="23"/>
        <v>0</v>
      </c>
      <c r="G268">
        <f t="shared" si="19"/>
        <v>4</v>
      </c>
      <c r="AJ268" s="40">
        <v>46169</v>
      </c>
      <c r="AK268" s="9" t="s">
        <v>202</v>
      </c>
      <c r="AL268" s="9" t="s">
        <v>45</v>
      </c>
      <c r="AM268" s="9"/>
      <c r="AN268" s="9">
        <v>55</v>
      </c>
      <c r="AO268" s="9">
        <v>193</v>
      </c>
      <c r="AP268" s="9">
        <v>187</v>
      </c>
      <c r="AQ268" s="9">
        <v>0</v>
      </c>
      <c r="AR268" s="9">
        <v>10</v>
      </c>
      <c r="AS268" s="9">
        <v>0</v>
      </c>
      <c r="AT268" s="9">
        <v>1</v>
      </c>
      <c r="AU268" s="9">
        <v>5</v>
      </c>
      <c r="AV268" s="9">
        <v>0</v>
      </c>
      <c r="AW268" s="9">
        <v>0</v>
      </c>
      <c r="AX268" s="9">
        <v>0</v>
      </c>
      <c r="AY268" s="9">
        <v>28</v>
      </c>
      <c r="AZ268" s="9">
        <v>24</v>
      </c>
    </row>
    <row r="269" spans="2:52">
      <c r="B269" t="str">
        <f t="shared" si="20"/>
        <v>May</v>
      </c>
      <c r="C269" s="43">
        <f t="shared" si="21"/>
        <v>46173</v>
      </c>
      <c r="D269" s="44">
        <f t="shared" si="22"/>
        <v>46169</v>
      </c>
      <c r="E269" s="9" t="s">
        <v>46</v>
      </c>
      <c r="F269">
        <f t="shared" si="23"/>
        <v>0</v>
      </c>
      <c r="G269">
        <f t="shared" si="19"/>
        <v>-10</v>
      </c>
      <c r="AJ269" s="40">
        <v>46169</v>
      </c>
      <c r="AK269" s="9" t="s">
        <v>202</v>
      </c>
      <c r="AL269" s="9" t="s">
        <v>46</v>
      </c>
      <c r="AM269" s="9"/>
      <c r="AN269" s="9">
        <v>31</v>
      </c>
      <c r="AO269" s="9">
        <v>0</v>
      </c>
      <c r="AP269" s="9">
        <v>13</v>
      </c>
      <c r="AQ269" s="9">
        <v>15</v>
      </c>
      <c r="AR269" s="9">
        <v>19</v>
      </c>
      <c r="AS269" s="9">
        <v>17</v>
      </c>
      <c r="AT269" s="9">
        <v>122</v>
      </c>
      <c r="AU269" s="9">
        <v>90</v>
      </c>
      <c r="AV269" s="9">
        <v>89</v>
      </c>
      <c r="AW269" s="9">
        <v>93</v>
      </c>
      <c r="AX269" s="9">
        <v>0</v>
      </c>
      <c r="AY269" s="9">
        <v>3</v>
      </c>
      <c r="AZ269" s="9">
        <v>0</v>
      </c>
    </row>
    <row r="270" spans="2:52">
      <c r="B270" t="str">
        <f t="shared" si="20"/>
        <v>May</v>
      </c>
      <c r="C270" s="43">
        <f t="shared" si="21"/>
        <v>46173</v>
      </c>
      <c r="D270" s="44">
        <f t="shared" si="22"/>
        <v>46169</v>
      </c>
      <c r="E270" s="9" t="s">
        <v>47</v>
      </c>
      <c r="F270">
        <f t="shared" si="23"/>
        <v>0</v>
      </c>
      <c r="G270">
        <f t="shared" si="19"/>
        <v>37</v>
      </c>
      <c r="AJ270" s="40">
        <v>46169</v>
      </c>
      <c r="AK270" s="9" t="s">
        <v>202</v>
      </c>
      <c r="AL270" s="9" t="s">
        <v>47</v>
      </c>
      <c r="AM270" s="9"/>
      <c r="AN270" s="9">
        <v>16</v>
      </c>
      <c r="AO270" s="9">
        <v>50</v>
      </c>
      <c r="AP270" s="9">
        <v>55</v>
      </c>
      <c r="AQ270" s="9">
        <v>53</v>
      </c>
      <c r="AR270" s="9">
        <v>25</v>
      </c>
      <c r="AS270" s="9">
        <v>26</v>
      </c>
      <c r="AT270" s="9">
        <v>25</v>
      </c>
      <c r="AU270" s="9">
        <v>22</v>
      </c>
      <c r="AV270" s="9">
        <v>0</v>
      </c>
      <c r="AW270" s="9">
        <v>5</v>
      </c>
      <c r="AX270" s="9">
        <v>5</v>
      </c>
      <c r="AY270" s="9">
        <v>10</v>
      </c>
      <c r="AZ270" s="9">
        <v>38</v>
      </c>
    </row>
    <row r="271" spans="2:52">
      <c r="B271" t="str">
        <f t="shared" si="20"/>
        <v>May</v>
      </c>
      <c r="C271" s="43">
        <f t="shared" si="21"/>
        <v>46173</v>
      </c>
      <c r="D271" s="44">
        <f t="shared" si="22"/>
        <v>46169</v>
      </c>
      <c r="E271" s="9" t="s">
        <v>206</v>
      </c>
      <c r="F271">
        <f t="shared" si="23"/>
        <v>0</v>
      </c>
      <c r="G271">
        <f t="shared" ref="G271:G334" si="24">SUM(H271:U271)+AZ271-AZ261</f>
        <v>-12</v>
      </c>
      <c r="AJ271" s="40">
        <v>46169</v>
      </c>
      <c r="AK271" s="9" t="s">
        <v>43</v>
      </c>
      <c r="AL271" s="9" t="s">
        <v>206</v>
      </c>
      <c r="AM271" s="9"/>
      <c r="AN271" s="9">
        <v>29</v>
      </c>
      <c r="AO271" s="9">
        <v>32</v>
      </c>
      <c r="AP271" s="9">
        <v>30</v>
      </c>
      <c r="AQ271" s="9">
        <v>35</v>
      </c>
      <c r="AR271" s="9">
        <v>41</v>
      </c>
      <c r="AS271" s="9">
        <v>38</v>
      </c>
      <c r="AT271" s="9">
        <v>31</v>
      </c>
      <c r="AU271" s="9">
        <v>0</v>
      </c>
      <c r="AV271" s="9">
        <v>0</v>
      </c>
      <c r="AW271" s="9">
        <v>14</v>
      </c>
      <c r="AX271" s="9">
        <v>24</v>
      </c>
      <c r="AY271" s="9">
        <v>0</v>
      </c>
      <c r="AZ271" s="9">
        <v>0</v>
      </c>
    </row>
    <row r="272" spans="2:52">
      <c r="B272" t="str">
        <f t="shared" si="20"/>
        <v>May</v>
      </c>
      <c r="C272" s="43">
        <f t="shared" si="21"/>
        <v>46173</v>
      </c>
      <c r="D272" s="44">
        <f t="shared" si="22"/>
        <v>46169</v>
      </c>
      <c r="E272" s="9" t="s">
        <v>207</v>
      </c>
      <c r="F272">
        <f t="shared" si="23"/>
        <v>0</v>
      </c>
      <c r="G272">
        <f t="shared" si="24"/>
        <v>-29</v>
      </c>
      <c r="AJ272" s="40">
        <v>46169</v>
      </c>
      <c r="AK272" s="9" t="s">
        <v>203</v>
      </c>
      <c r="AL272" s="9" t="s">
        <v>207</v>
      </c>
      <c r="AM272" s="9"/>
      <c r="AN272" s="9">
        <v>7</v>
      </c>
      <c r="AO272" s="9">
        <v>149</v>
      </c>
      <c r="AP272" s="9">
        <v>142</v>
      </c>
      <c r="AQ272" s="9">
        <v>140</v>
      </c>
      <c r="AR272" s="9">
        <v>144</v>
      </c>
      <c r="AS272" s="9">
        <v>200</v>
      </c>
      <c r="AT272" s="9">
        <v>194</v>
      </c>
      <c r="AU272" s="9">
        <v>193</v>
      </c>
      <c r="AV272" s="9">
        <v>0</v>
      </c>
      <c r="AW272" s="9">
        <v>4</v>
      </c>
      <c r="AX272" s="9">
        <v>13</v>
      </c>
      <c r="AY272" s="9">
        <v>5</v>
      </c>
      <c r="AZ272" s="9">
        <v>0</v>
      </c>
    </row>
    <row r="273" spans="2:52">
      <c r="B273" t="str">
        <f t="shared" si="20"/>
        <v>May</v>
      </c>
      <c r="C273" s="43">
        <f t="shared" si="21"/>
        <v>46173</v>
      </c>
      <c r="D273" s="44">
        <f t="shared" si="22"/>
        <v>46169</v>
      </c>
      <c r="E273" s="9" t="s">
        <v>42</v>
      </c>
      <c r="F273">
        <f t="shared" si="23"/>
        <v>0</v>
      </c>
      <c r="G273">
        <f t="shared" si="24"/>
        <v>0</v>
      </c>
      <c r="AJ273" s="40">
        <v>46169</v>
      </c>
      <c r="AK273" s="9" t="s">
        <v>42</v>
      </c>
      <c r="AL273" s="9" t="s">
        <v>42</v>
      </c>
      <c r="AM273" s="9"/>
      <c r="AN273" s="9">
        <v>16</v>
      </c>
      <c r="AO273" s="9">
        <v>19</v>
      </c>
      <c r="AP273" s="9">
        <v>0</v>
      </c>
      <c r="AQ273" s="9">
        <v>4</v>
      </c>
      <c r="AR273" s="9">
        <v>3</v>
      </c>
      <c r="AS273" s="9">
        <v>4</v>
      </c>
      <c r="AT273" s="9">
        <v>0</v>
      </c>
      <c r="AU273" s="9">
        <v>6</v>
      </c>
      <c r="AV273" s="9">
        <v>0</v>
      </c>
      <c r="AW273" s="9">
        <v>5</v>
      </c>
      <c r="AX273" s="9">
        <v>0</v>
      </c>
      <c r="AY273" s="9">
        <v>15</v>
      </c>
      <c r="AZ273" s="9">
        <v>0</v>
      </c>
    </row>
    <row r="274" spans="2:52">
      <c r="B274" t="str">
        <f t="shared" si="20"/>
        <v>May</v>
      </c>
      <c r="C274" s="43">
        <f t="shared" si="21"/>
        <v>46173</v>
      </c>
      <c r="D274" s="44">
        <f t="shared" si="22"/>
        <v>46170</v>
      </c>
      <c r="E274" s="9" t="s">
        <v>31</v>
      </c>
      <c r="F274">
        <f t="shared" si="23"/>
        <v>0</v>
      </c>
      <c r="G274">
        <f t="shared" si="24"/>
        <v>-80</v>
      </c>
      <c r="AJ274" s="40">
        <v>46170</v>
      </c>
      <c r="AK274" s="9" t="s">
        <v>204</v>
      </c>
      <c r="AL274" s="9" t="s">
        <v>31</v>
      </c>
      <c r="AM274" s="9"/>
      <c r="AN274" s="9">
        <v>104</v>
      </c>
      <c r="AO274" s="9">
        <v>120</v>
      </c>
      <c r="AP274" s="9">
        <v>102</v>
      </c>
      <c r="AQ274" s="9">
        <v>88</v>
      </c>
      <c r="AR274" s="9">
        <v>101</v>
      </c>
      <c r="AS274" s="9">
        <v>0</v>
      </c>
      <c r="AT274" s="9">
        <v>17</v>
      </c>
      <c r="AU274" s="9">
        <v>47</v>
      </c>
      <c r="AV274" s="9">
        <v>59</v>
      </c>
      <c r="AW274" s="9">
        <v>87</v>
      </c>
      <c r="AX274" s="9">
        <v>70</v>
      </c>
      <c r="AY274" s="9">
        <v>89</v>
      </c>
      <c r="AZ274" s="9">
        <v>75</v>
      </c>
    </row>
    <row r="275" spans="2:52">
      <c r="B275" t="str">
        <f t="shared" si="20"/>
        <v>May</v>
      </c>
      <c r="C275" s="43">
        <f t="shared" si="21"/>
        <v>46173</v>
      </c>
      <c r="D275" s="44">
        <f t="shared" si="22"/>
        <v>46170</v>
      </c>
      <c r="E275" s="9" t="s">
        <v>39</v>
      </c>
      <c r="F275">
        <f t="shared" si="23"/>
        <v>0</v>
      </c>
      <c r="G275">
        <f t="shared" si="24"/>
        <v>75</v>
      </c>
      <c r="AJ275" s="40">
        <v>46170</v>
      </c>
      <c r="AK275" s="9" t="s">
        <v>205</v>
      </c>
      <c r="AL275" s="9" t="s">
        <v>39</v>
      </c>
      <c r="AM275" s="9"/>
      <c r="AN275" s="9">
        <v>50</v>
      </c>
      <c r="AO275" s="9">
        <v>56</v>
      </c>
      <c r="AP275" s="9">
        <v>66</v>
      </c>
      <c r="AQ275" s="9">
        <v>79</v>
      </c>
      <c r="AR275" s="9">
        <v>140</v>
      </c>
      <c r="AS275" s="9">
        <v>133</v>
      </c>
      <c r="AT275" s="9">
        <v>133</v>
      </c>
      <c r="AU275" s="9">
        <v>136</v>
      </c>
      <c r="AV275" s="9">
        <v>134</v>
      </c>
      <c r="AW275" s="9">
        <v>125</v>
      </c>
      <c r="AX275" s="9">
        <v>138</v>
      </c>
      <c r="AY275" s="9">
        <v>145</v>
      </c>
      <c r="AZ275" s="9">
        <v>158</v>
      </c>
    </row>
    <row r="276" spans="2:52">
      <c r="B276" t="str">
        <f t="shared" si="20"/>
        <v>May</v>
      </c>
      <c r="C276" s="43">
        <f t="shared" si="21"/>
        <v>46173</v>
      </c>
      <c r="D276" s="44">
        <f t="shared" si="22"/>
        <v>46170</v>
      </c>
      <c r="E276" s="9" t="s">
        <v>40</v>
      </c>
      <c r="F276">
        <f t="shared" si="23"/>
        <v>0</v>
      </c>
      <c r="G276">
        <f t="shared" si="24"/>
        <v>-56</v>
      </c>
      <c r="AJ276" s="40">
        <v>46170</v>
      </c>
      <c r="AK276" s="9" t="s">
        <v>205</v>
      </c>
      <c r="AL276" s="9" t="s">
        <v>40</v>
      </c>
      <c r="AM276" s="9"/>
      <c r="AN276" s="9">
        <v>69</v>
      </c>
      <c r="AO276" s="9">
        <v>0</v>
      </c>
      <c r="AP276" s="9">
        <v>0</v>
      </c>
      <c r="AQ276" s="9">
        <v>12</v>
      </c>
      <c r="AR276" s="9">
        <v>5</v>
      </c>
      <c r="AS276" s="9">
        <v>48</v>
      </c>
      <c r="AT276" s="9">
        <v>32</v>
      </c>
      <c r="AU276" s="9">
        <v>28</v>
      </c>
      <c r="AV276" s="9">
        <v>18</v>
      </c>
      <c r="AW276" s="9">
        <v>23</v>
      </c>
      <c r="AX276" s="9">
        <v>0</v>
      </c>
      <c r="AY276" s="9">
        <v>4</v>
      </c>
      <c r="AZ276" s="9">
        <v>15</v>
      </c>
    </row>
    <row r="277" spans="2:52">
      <c r="B277" t="str">
        <f t="shared" si="20"/>
        <v>May</v>
      </c>
      <c r="C277" s="43">
        <f t="shared" si="21"/>
        <v>46173</v>
      </c>
      <c r="D277" s="44">
        <f t="shared" si="22"/>
        <v>46170</v>
      </c>
      <c r="E277" s="9" t="s">
        <v>41</v>
      </c>
      <c r="F277">
        <f t="shared" si="23"/>
        <v>0</v>
      </c>
      <c r="G277">
        <f t="shared" si="24"/>
        <v>-1</v>
      </c>
      <c r="AJ277" s="40">
        <v>46170</v>
      </c>
      <c r="AK277" s="9" t="s">
        <v>41</v>
      </c>
      <c r="AL277" s="9" t="s">
        <v>41</v>
      </c>
      <c r="AM277" s="9"/>
      <c r="AN277" s="9">
        <v>1</v>
      </c>
      <c r="AO277" s="9">
        <v>6</v>
      </c>
      <c r="AP277" s="9">
        <v>2</v>
      </c>
      <c r="AQ277" s="9">
        <v>4</v>
      </c>
      <c r="AR277" s="9">
        <v>9</v>
      </c>
      <c r="AS277" s="9">
        <v>10</v>
      </c>
      <c r="AT277" s="9">
        <v>13</v>
      </c>
      <c r="AU277" s="9">
        <v>13</v>
      </c>
      <c r="AV277" s="9">
        <v>13</v>
      </c>
      <c r="AW277" s="9">
        <v>12</v>
      </c>
      <c r="AX277" s="9">
        <v>17</v>
      </c>
      <c r="AY277" s="9">
        <v>0</v>
      </c>
      <c r="AZ277" s="9">
        <v>14</v>
      </c>
    </row>
    <row r="278" spans="2:52">
      <c r="B278" t="str">
        <f t="shared" si="20"/>
        <v>May</v>
      </c>
      <c r="C278" s="43">
        <f t="shared" si="21"/>
        <v>46173</v>
      </c>
      <c r="D278" s="44">
        <f t="shared" si="22"/>
        <v>46170</v>
      </c>
      <c r="E278" s="9" t="s">
        <v>45</v>
      </c>
      <c r="F278">
        <f t="shared" si="23"/>
        <v>0</v>
      </c>
      <c r="G278">
        <f t="shared" si="24"/>
        <v>59</v>
      </c>
      <c r="AJ278" s="40">
        <v>46170</v>
      </c>
      <c r="AK278" s="9" t="s">
        <v>202</v>
      </c>
      <c r="AL278" s="9" t="s">
        <v>45</v>
      </c>
      <c r="AM278" s="9"/>
      <c r="AN278" s="9">
        <v>24</v>
      </c>
      <c r="AO278" s="9">
        <v>20</v>
      </c>
      <c r="AP278" s="9">
        <v>14</v>
      </c>
      <c r="AQ278" s="9">
        <v>16</v>
      </c>
      <c r="AR278" s="9">
        <v>17</v>
      </c>
      <c r="AS278" s="9">
        <v>0</v>
      </c>
      <c r="AT278" s="9">
        <v>29</v>
      </c>
      <c r="AU278" s="9">
        <v>30</v>
      </c>
      <c r="AV278" s="9">
        <v>74</v>
      </c>
      <c r="AW278" s="9">
        <v>72</v>
      </c>
      <c r="AX278" s="9">
        <v>73</v>
      </c>
      <c r="AY278" s="9">
        <v>81</v>
      </c>
      <c r="AZ278" s="9">
        <v>83</v>
      </c>
    </row>
    <row r="279" spans="2:52">
      <c r="B279" t="str">
        <f t="shared" si="20"/>
        <v>May</v>
      </c>
      <c r="C279" s="43">
        <f t="shared" si="21"/>
        <v>46173</v>
      </c>
      <c r="D279" s="44">
        <f t="shared" si="22"/>
        <v>46170</v>
      </c>
      <c r="E279" s="9" t="s">
        <v>46</v>
      </c>
      <c r="F279">
        <f t="shared" si="23"/>
        <v>0</v>
      </c>
      <c r="G279">
        <f t="shared" si="24"/>
        <v>161</v>
      </c>
      <c r="AJ279" s="40">
        <v>46170</v>
      </c>
      <c r="AK279" s="9" t="s">
        <v>202</v>
      </c>
      <c r="AL279" s="9" t="s">
        <v>46</v>
      </c>
      <c r="AM279" s="9"/>
      <c r="AN279" s="9">
        <v>33</v>
      </c>
      <c r="AO279" s="9">
        <v>0</v>
      </c>
      <c r="AP279" s="9">
        <v>6</v>
      </c>
      <c r="AQ279" s="9">
        <v>10</v>
      </c>
      <c r="AR279" s="9">
        <v>40</v>
      </c>
      <c r="AS279" s="9">
        <v>40</v>
      </c>
      <c r="AT279" s="9">
        <v>37</v>
      </c>
      <c r="AU279" s="9">
        <v>0</v>
      </c>
      <c r="AV279" s="9">
        <v>0</v>
      </c>
      <c r="AW279" s="9">
        <v>0</v>
      </c>
      <c r="AX279" s="9">
        <v>0</v>
      </c>
      <c r="AY279" s="9">
        <v>0</v>
      </c>
      <c r="AZ279" s="9">
        <v>161</v>
      </c>
    </row>
    <row r="280" spans="2:52">
      <c r="B280" t="str">
        <f t="shared" si="20"/>
        <v>May</v>
      </c>
      <c r="C280" s="43">
        <f t="shared" si="21"/>
        <v>46173</v>
      </c>
      <c r="D280" s="44">
        <f t="shared" si="22"/>
        <v>46170</v>
      </c>
      <c r="E280" s="9" t="s">
        <v>47</v>
      </c>
      <c r="F280">
        <f t="shared" si="23"/>
        <v>0</v>
      </c>
      <c r="G280">
        <f t="shared" si="24"/>
        <v>-38</v>
      </c>
      <c r="AJ280" s="40">
        <v>46170</v>
      </c>
      <c r="AK280" s="9" t="s">
        <v>202</v>
      </c>
      <c r="AL280" s="9" t="s">
        <v>47</v>
      </c>
      <c r="AM280" s="9"/>
      <c r="AN280" s="9">
        <v>10</v>
      </c>
      <c r="AO280" s="9">
        <v>15</v>
      </c>
      <c r="AP280" s="9">
        <v>0</v>
      </c>
      <c r="AQ280" s="9">
        <v>11</v>
      </c>
      <c r="AR280" s="9">
        <v>0</v>
      </c>
      <c r="AS280" s="9">
        <v>5</v>
      </c>
      <c r="AT280" s="9">
        <v>10</v>
      </c>
      <c r="AU280" s="9">
        <v>12</v>
      </c>
      <c r="AV280" s="9">
        <v>12</v>
      </c>
      <c r="AW280" s="9">
        <v>11</v>
      </c>
      <c r="AX280" s="9">
        <v>50</v>
      </c>
      <c r="AY280" s="9">
        <v>7</v>
      </c>
      <c r="AZ280" s="9">
        <v>0</v>
      </c>
    </row>
    <row r="281" spans="2:52">
      <c r="B281" t="str">
        <f t="shared" si="20"/>
        <v>May</v>
      </c>
      <c r="C281" s="43">
        <f t="shared" si="21"/>
        <v>46173</v>
      </c>
      <c r="D281" s="44">
        <f t="shared" si="22"/>
        <v>46170</v>
      </c>
      <c r="E281" s="9" t="s">
        <v>206</v>
      </c>
      <c r="F281">
        <f t="shared" si="23"/>
        <v>0</v>
      </c>
      <c r="G281">
        <f t="shared" si="24"/>
        <v>94</v>
      </c>
      <c r="AJ281" s="40">
        <v>46170</v>
      </c>
      <c r="AK281" s="9" t="s">
        <v>43</v>
      </c>
      <c r="AL281" s="9" t="s">
        <v>206</v>
      </c>
      <c r="AM281" s="9"/>
      <c r="AN281" s="9">
        <v>72</v>
      </c>
      <c r="AO281" s="9">
        <v>0</v>
      </c>
      <c r="AP281" s="9">
        <v>0</v>
      </c>
      <c r="AQ281" s="9">
        <v>11</v>
      </c>
      <c r="AR281" s="9">
        <v>18</v>
      </c>
      <c r="AS281" s="9">
        <v>28</v>
      </c>
      <c r="AT281" s="9">
        <v>0</v>
      </c>
      <c r="AU281" s="9">
        <v>13</v>
      </c>
      <c r="AV281" s="9">
        <v>21</v>
      </c>
      <c r="AW281" s="9">
        <v>38</v>
      </c>
      <c r="AX281" s="9">
        <v>48</v>
      </c>
      <c r="AY281" s="9">
        <v>97</v>
      </c>
      <c r="AZ281" s="9">
        <v>94</v>
      </c>
    </row>
    <row r="282" spans="2:52">
      <c r="B282" t="str">
        <f t="shared" si="20"/>
        <v>May</v>
      </c>
      <c r="C282" s="43">
        <f t="shared" si="21"/>
        <v>46173</v>
      </c>
      <c r="D282" s="44">
        <f t="shared" si="22"/>
        <v>46170</v>
      </c>
      <c r="E282" s="9" t="s">
        <v>207</v>
      </c>
      <c r="F282">
        <f t="shared" si="23"/>
        <v>0</v>
      </c>
      <c r="G282">
        <f t="shared" si="24"/>
        <v>0</v>
      </c>
      <c r="AJ282" s="40">
        <v>46170</v>
      </c>
      <c r="AK282" s="9" t="s">
        <v>203</v>
      </c>
      <c r="AL282" s="9" t="s">
        <v>207</v>
      </c>
      <c r="AM282" s="9"/>
      <c r="AN282" s="9">
        <v>9</v>
      </c>
      <c r="AO282" s="9">
        <v>34</v>
      </c>
      <c r="AP282" s="9">
        <v>38</v>
      </c>
      <c r="AQ282" s="9">
        <v>47</v>
      </c>
      <c r="AR282" s="9">
        <v>42</v>
      </c>
      <c r="AS282" s="9">
        <v>0</v>
      </c>
      <c r="AT282" s="9">
        <v>3</v>
      </c>
      <c r="AU282" s="9">
        <v>0</v>
      </c>
      <c r="AV282" s="9">
        <v>25</v>
      </c>
      <c r="AW282" s="9">
        <v>0</v>
      </c>
      <c r="AX282" s="9">
        <v>31</v>
      </c>
      <c r="AY282" s="9">
        <v>37</v>
      </c>
      <c r="AZ282" s="9">
        <v>0</v>
      </c>
    </row>
    <row r="283" spans="2:52">
      <c r="B283" t="str">
        <f t="shared" si="20"/>
        <v>May</v>
      </c>
      <c r="C283" s="43">
        <f t="shared" si="21"/>
        <v>46173</v>
      </c>
      <c r="D283" s="44">
        <f t="shared" si="22"/>
        <v>46170</v>
      </c>
      <c r="E283" s="9" t="s">
        <v>42</v>
      </c>
      <c r="F283">
        <f t="shared" si="23"/>
        <v>0</v>
      </c>
      <c r="G283">
        <f t="shared" si="24"/>
        <v>30</v>
      </c>
      <c r="AJ283" s="40">
        <v>46170</v>
      </c>
      <c r="AK283" s="9" t="s">
        <v>42</v>
      </c>
      <c r="AL283" s="9" t="s">
        <v>42</v>
      </c>
      <c r="AM283" s="9"/>
      <c r="AN283" s="9">
        <v>0</v>
      </c>
      <c r="AO283" s="9">
        <v>6</v>
      </c>
      <c r="AP283" s="9">
        <v>0</v>
      </c>
      <c r="AQ283" s="9">
        <v>5</v>
      </c>
      <c r="AR283" s="9">
        <v>6</v>
      </c>
      <c r="AS283" s="9">
        <v>1</v>
      </c>
      <c r="AT283" s="9">
        <v>2</v>
      </c>
      <c r="AU283" s="9">
        <v>0</v>
      </c>
      <c r="AV283" s="9">
        <v>0</v>
      </c>
      <c r="AW283" s="9">
        <v>7</v>
      </c>
      <c r="AX283" s="9">
        <v>4</v>
      </c>
      <c r="AY283" s="9">
        <v>1</v>
      </c>
      <c r="AZ283" s="9">
        <v>30</v>
      </c>
    </row>
    <row r="284" spans="2:52">
      <c r="B284" t="str">
        <f t="shared" si="20"/>
        <v>May</v>
      </c>
      <c r="C284" s="43">
        <f t="shared" si="21"/>
        <v>46173</v>
      </c>
      <c r="D284" s="44">
        <f t="shared" si="22"/>
        <v>46171</v>
      </c>
      <c r="E284" s="9" t="s">
        <v>31</v>
      </c>
      <c r="F284">
        <f t="shared" si="23"/>
        <v>0</v>
      </c>
      <c r="G284">
        <f t="shared" si="24"/>
        <v>41</v>
      </c>
      <c r="AJ284" s="40">
        <v>46171</v>
      </c>
      <c r="AK284" s="9" t="s">
        <v>204</v>
      </c>
      <c r="AL284" s="9" t="s">
        <v>31</v>
      </c>
      <c r="AM284" s="9"/>
      <c r="AN284" s="9">
        <v>163</v>
      </c>
      <c r="AO284" s="9">
        <v>161</v>
      </c>
      <c r="AP284" s="9">
        <v>0</v>
      </c>
      <c r="AQ284" s="9">
        <v>12</v>
      </c>
      <c r="AR284" s="9">
        <v>18</v>
      </c>
      <c r="AS284" s="9">
        <v>0</v>
      </c>
      <c r="AT284" s="9">
        <v>0</v>
      </c>
      <c r="AU284" s="9">
        <v>15</v>
      </c>
      <c r="AV284" s="9">
        <v>29</v>
      </c>
      <c r="AW284" s="9">
        <v>30</v>
      </c>
      <c r="AX284" s="9">
        <v>34</v>
      </c>
      <c r="AY284" s="9">
        <v>64</v>
      </c>
      <c r="AZ284" s="9">
        <v>116</v>
      </c>
    </row>
    <row r="285" spans="2:52">
      <c r="B285" t="str">
        <f t="shared" si="20"/>
        <v>May</v>
      </c>
      <c r="C285" s="43">
        <f t="shared" si="21"/>
        <v>46173</v>
      </c>
      <c r="D285" s="44">
        <f t="shared" si="22"/>
        <v>46171</v>
      </c>
      <c r="E285" s="9" t="s">
        <v>39</v>
      </c>
      <c r="F285">
        <f t="shared" si="23"/>
        <v>0</v>
      </c>
      <c r="G285">
        <f t="shared" si="24"/>
        <v>18</v>
      </c>
      <c r="AJ285" s="40">
        <v>46171</v>
      </c>
      <c r="AK285" s="9" t="s">
        <v>205</v>
      </c>
      <c r="AL285" s="9" t="s">
        <v>39</v>
      </c>
      <c r="AM285" s="9"/>
      <c r="AN285" s="9">
        <v>57</v>
      </c>
      <c r="AO285" s="9">
        <v>67</v>
      </c>
      <c r="AP285" s="9">
        <v>70</v>
      </c>
      <c r="AQ285" s="9">
        <v>73</v>
      </c>
      <c r="AR285" s="9">
        <v>0</v>
      </c>
      <c r="AS285" s="9">
        <v>36</v>
      </c>
      <c r="AT285" s="9">
        <v>24</v>
      </c>
      <c r="AU285" s="9">
        <v>32</v>
      </c>
      <c r="AV285" s="9">
        <v>22</v>
      </c>
      <c r="AW285" s="9">
        <v>26</v>
      </c>
      <c r="AX285" s="9">
        <v>112</v>
      </c>
      <c r="AY285" s="9">
        <v>125</v>
      </c>
      <c r="AZ285" s="9">
        <v>176</v>
      </c>
    </row>
    <row r="286" spans="2:52">
      <c r="B286" t="str">
        <f t="shared" si="20"/>
        <v>May</v>
      </c>
      <c r="C286" s="43">
        <f t="shared" si="21"/>
        <v>46173</v>
      </c>
      <c r="D286" s="44">
        <f t="shared" si="22"/>
        <v>46171</v>
      </c>
      <c r="E286" s="9" t="s">
        <v>40</v>
      </c>
      <c r="F286">
        <f t="shared" si="23"/>
        <v>0</v>
      </c>
      <c r="G286">
        <f t="shared" si="24"/>
        <v>8</v>
      </c>
      <c r="AJ286" s="40">
        <v>46171</v>
      </c>
      <c r="AK286" s="9" t="s">
        <v>205</v>
      </c>
      <c r="AL286" s="9" t="s">
        <v>40</v>
      </c>
      <c r="AM286" s="9"/>
      <c r="AN286" s="9">
        <v>53</v>
      </c>
      <c r="AO286" s="9">
        <v>45</v>
      </c>
      <c r="AP286" s="9">
        <v>50</v>
      </c>
      <c r="AQ286" s="9">
        <v>107</v>
      </c>
      <c r="AR286" s="9">
        <v>115</v>
      </c>
      <c r="AS286" s="9">
        <v>127</v>
      </c>
      <c r="AT286" s="9">
        <v>0</v>
      </c>
      <c r="AU286" s="9">
        <v>0</v>
      </c>
      <c r="AV286" s="9">
        <v>1</v>
      </c>
      <c r="AW286" s="9">
        <v>5</v>
      </c>
      <c r="AX286" s="9">
        <v>0</v>
      </c>
      <c r="AY286" s="9">
        <v>24</v>
      </c>
      <c r="AZ286" s="9">
        <v>23</v>
      </c>
    </row>
    <row r="287" spans="2:52">
      <c r="B287" t="str">
        <f t="shared" si="20"/>
        <v>May</v>
      </c>
      <c r="C287" s="43">
        <f t="shared" si="21"/>
        <v>46173</v>
      </c>
      <c r="D287" s="44">
        <f t="shared" si="22"/>
        <v>46171</v>
      </c>
      <c r="E287" s="9" t="s">
        <v>41</v>
      </c>
      <c r="F287">
        <f t="shared" si="23"/>
        <v>0</v>
      </c>
      <c r="G287">
        <f t="shared" si="24"/>
        <v>7</v>
      </c>
      <c r="AJ287" s="40">
        <v>46171</v>
      </c>
      <c r="AK287" s="9" t="s">
        <v>41</v>
      </c>
      <c r="AL287" s="9" t="s">
        <v>41</v>
      </c>
      <c r="AM287" s="9"/>
      <c r="AN287" s="9">
        <v>24</v>
      </c>
      <c r="AO287" s="9">
        <v>22</v>
      </c>
      <c r="AP287" s="9">
        <v>0</v>
      </c>
      <c r="AQ287" s="9">
        <v>5</v>
      </c>
      <c r="AR287" s="9">
        <v>8</v>
      </c>
      <c r="AS287" s="9">
        <v>6</v>
      </c>
      <c r="AT287" s="9">
        <v>5</v>
      </c>
      <c r="AU287" s="9">
        <v>3</v>
      </c>
      <c r="AV287" s="9">
        <v>0</v>
      </c>
      <c r="AW287" s="9">
        <v>4</v>
      </c>
      <c r="AX287" s="9">
        <v>23</v>
      </c>
      <c r="AY287" s="9">
        <v>24</v>
      </c>
      <c r="AZ287" s="9">
        <v>21</v>
      </c>
    </row>
    <row r="288" spans="2:52">
      <c r="B288" t="str">
        <f t="shared" si="20"/>
        <v>May</v>
      </c>
      <c r="C288" s="43">
        <f t="shared" si="21"/>
        <v>46173</v>
      </c>
      <c r="D288" s="44">
        <f t="shared" si="22"/>
        <v>46171</v>
      </c>
      <c r="E288" s="9" t="s">
        <v>45</v>
      </c>
      <c r="F288">
        <f t="shared" si="23"/>
        <v>0</v>
      </c>
      <c r="G288">
        <f t="shared" si="24"/>
        <v>-3</v>
      </c>
      <c r="AJ288" s="40">
        <v>46171</v>
      </c>
      <c r="AK288" s="9" t="s">
        <v>202</v>
      </c>
      <c r="AL288" s="9" t="s">
        <v>45</v>
      </c>
      <c r="AM288" s="9"/>
      <c r="AN288" s="9">
        <v>19</v>
      </c>
      <c r="AO288" s="9">
        <v>20</v>
      </c>
      <c r="AP288" s="9">
        <v>16</v>
      </c>
      <c r="AQ288" s="9">
        <v>24</v>
      </c>
      <c r="AR288" s="9">
        <v>28</v>
      </c>
      <c r="AS288" s="9">
        <v>24</v>
      </c>
      <c r="AT288" s="9">
        <v>19</v>
      </c>
      <c r="AU288" s="9">
        <v>21</v>
      </c>
      <c r="AV288" s="9">
        <v>19</v>
      </c>
      <c r="AW288" s="9">
        <v>16</v>
      </c>
      <c r="AX288" s="9">
        <v>23</v>
      </c>
      <c r="AY288" s="9">
        <v>72</v>
      </c>
      <c r="AZ288" s="9">
        <v>80</v>
      </c>
    </row>
    <row r="289" spans="2:52">
      <c r="B289" t="str">
        <f t="shared" si="20"/>
        <v>May</v>
      </c>
      <c r="C289" s="43">
        <f t="shared" si="21"/>
        <v>46173</v>
      </c>
      <c r="D289" s="44">
        <f t="shared" si="22"/>
        <v>46171</v>
      </c>
      <c r="E289" s="9" t="s">
        <v>46</v>
      </c>
      <c r="F289">
        <f t="shared" si="23"/>
        <v>0</v>
      </c>
      <c r="G289">
        <f t="shared" si="24"/>
        <v>-161</v>
      </c>
      <c r="AJ289" s="40">
        <v>46171</v>
      </c>
      <c r="AK289" s="9" t="s">
        <v>202</v>
      </c>
      <c r="AL289" s="9" t="s">
        <v>46</v>
      </c>
      <c r="AM289" s="9"/>
      <c r="AN289" s="9">
        <v>54</v>
      </c>
      <c r="AO289" s="9">
        <v>55</v>
      </c>
      <c r="AP289" s="9">
        <v>58</v>
      </c>
      <c r="AQ289" s="9">
        <v>57</v>
      </c>
      <c r="AR289" s="9">
        <v>57</v>
      </c>
      <c r="AS289" s="9">
        <v>59</v>
      </c>
      <c r="AT289" s="9">
        <v>56</v>
      </c>
      <c r="AU289" s="9">
        <v>42</v>
      </c>
      <c r="AV289" s="9">
        <v>45</v>
      </c>
      <c r="AW289" s="9">
        <v>49</v>
      </c>
      <c r="AX289" s="9">
        <v>183</v>
      </c>
      <c r="AY289" s="9">
        <v>225</v>
      </c>
      <c r="AZ289" s="9">
        <v>0</v>
      </c>
    </row>
    <row r="290" spans="2:52">
      <c r="B290" t="str">
        <f t="shared" si="20"/>
        <v>May</v>
      </c>
      <c r="C290" s="43">
        <f t="shared" si="21"/>
        <v>46173</v>
      </c>
      <c r="D290" s="44">
        <f t="shared" si="22"/>
        <v>46171</v>
      </c>
      <c r="E290" s="9" t="s">
        <v>47</v>
      </c>
      <c r="F290">
        <f t="shared" si="23"/>
        <v>0</v>
      </c>
      <c r="G290">
        <f t="shared" si="24"/>
        <v>26</v>
      </c>
      <c r="AJ290" s="40">
        <v>46171</v>
      </c>
      <c r="AK290" s="9" t="s">
        <v>202</v>
      </c>
      <c r="AL290" s="9" t="s">
        <v>47</v>
      </c>
      <c r="AM290" s="9"/>
      <c r="AN290" s="9">
        <v>25</v>
      </c>
      <c r="AO290" s="9">
        <v>22</v>
      </c>
      <c r="AP290" s="9">
        <v>24</v>
      </c>
      <c r="AQ290" s="9">
        <v>26</v>
      </c>
      <c r="AR290" s="9">
        <v>0</v>
      </c>
      <c r="AS290" s="9">
        <v>0</v>
      </c>
      <c r="AT290" s="9">
        <v>1</v>
      </c>
      <c r="AU290" s="9">
        <v>4</v>
      </c>
      <c r="AV290" s="9">
        <v>7</v>
      </c>
      <c r="AW290" s="9">
        <v>27</v>
      </c>
      <c r="AX290" s="9">
        <v>26</v>
      </c>
      <c r="AY290" s="9">
        <v>24</v>
      </c>
      <c r="AZ290" s="9">
        <v>26</v>
      </c>
    </row>
    <row r="291" spans="2:52">
      <c r="B291" t="str">
        <f t="shared" si="20"/>
        <v>May</v>
      </c>
      <c r="C291" s="43">
        <f t="shared" si="21"/>
        <v>46173</v>
      </c>
      <c r="D291" s="44">
        <f t="shared" si="22"/>
        <v>46171</v>
      </c>
      <c r="E291" s="9" t="s">
        <v>206</v>
      </c>
      <c r="F291">
        <f t="shared" si="23"/>
        <v>0</v>
      </c>
      <c r="G291">
        <f t="shared" si="24"/>
        <v>-94</v>
      </c>
      <c r="AJ291" s="40">
        <v>46171</v>
      </c>
      <c r="AK291" s="9" t="s">
        <v>43</v>
      </c>
      <c r="AL291" s="9" t="s">
        <v>206</v>
      </c>
      <c r="AM291" s="9"/>
      <c r="AN291" s="9">
        <v>137</v>
      </c>
      <c r="AO291" s="9">
        <v>0</v>
      </c>
      <c r="AP291" s="9">
        <v>6</v>
      </c>
      <c r="AQ291" s="9">
        <v>14</v>
      </c>
      <c r="AR291" s="9">
        <v>14</v>
      </c>
      <c r="AS291" s="9">
        <v>10</v>
      </c>
      <c r="AT291" s="9">
        <v>0</v>
      </c>
      <c r="AU291" s="9">
        <v>16</v>
      </c>
      <c r="AV291" s="9">
        <v>8</v>
      </c>
      <c r="AW291" s="9">
        <v>60</v>
      </c>
      <c r="AX291" s="9">
        <v>0</v>
      </c>
      <c r="AY291" s="9">
        <v>0</v>
      </c>
      <c r="AZ291" s="9">
        <v>0</v>
      </c>
    </row>
    <row r="292" spans="2:52">
      <c r="B292" t="str">
        <f t="shared" si="20"/>
        <v>May</v>
      </c>
      <c r="C292" s="43">
        <f t="shared" si="21"/>
        <v>46173</v>
      </c>
      <c r="D292" s="44">
        <f t="shared" si="22"/>
        <v>46171</v>
      </c>
      <c r="E292" s="9" t="s">
        <v>207</v>
      </c>
      <c r="F292">
        <f t="shared" si="23"/>
        <v>0</v>
      </c>
      <c r="G292">
        <f t="shared" si="24"/>
        <v>1</v>
      </c>
      <c r="AJ292" s="40">
        <v>46171</v>
      </c>
      <c r="AK292" s="9" t="s">
        <v>203</v>
      </c>
      <c r="AL292" s="9" t="s">
        <v>207</v>
      </c>
      <c r="AM292" s="9"/>
      <c r="AN292" s="9">
        <v>55</v>
      </c>
      <c r="AO292" s="9">
        <v>90</v>
      </c>
      <c r="AP292" s="9">
        <v>91</v>
      </c>
      <c r="AQ292" s="9">
        <v>88</v>
      </c>
      <c r="AR292" s="9">
        <v>87</v>
      </c>
      <c r="AS292" s="9">
        <v>0</v>
      </c>
      <c r="AT292" s="9">
        <v>0</v>
      </c>
      <c r="AU292" s="9">
        <v>52</v>
      </c>
      <c r="AV292" s="9">
        <v>50</v>
      </c>
      <c r="AW292" s="9">
        <v>58</v>
      </c>
      <c r="AX292" s="9">
        <v>51</v>
      </c>
      <c r="AY292" s="9">
        <v>0</v>
      </c>
      <c r="AZ292" s="9">
        <v>1</v>
      </c>
    </row>
    <row r="293" spans="2:52">
      <c r="B293" t="str">
        <f t="shared" si="20"/>
        <v>May</v>
      </c>
      <c r="C293" s="43">
        <f t="shared" si="21"/>
        <v>46173</v>
      </c>
      <c r="D293" s="44">
        <f t="shared" si="22"/>
        <v>46171</v>
      </c>
      <c r="E293" s="9" t="s">
        <v>42</v>
      </c>
      <c r="F293">
        <f t="shared" si="23"/>
        <v>0</v>
      </c>
      <c r="G293">
        <f t="shared" si="24"/>
        <v>-22</v>
      </c>
      <c r="AJ293" s="40">
        <v>46171</v>
      </c>
      <c r="AK293" s="9" t="s">
        <v>42</v>
      </c>
      <c r="AL293" s="9" t="s">
        <v>42</v>
      </c>
      <c r="AM293" s="9"/>
      <c r="AN293" s="9">
        <v>19</v>
      </c>
      <c r="AO293" s="9">
        <v>24</v>
      </c>
      <c r="AP293" s="9">
        <v>15</v>
      </c>
      <c r="AQ293" s="9">
        <v>22</v>
      </c>
      <c r="AR293" s="9">
        <v>20</v>
      </c>
      <c r="AS293" s="9">
        <v>14</v>
      </c>
      <c r="AT293" s="9">
        <v>21</v>
      </c>
      <c r="AU293" s="9">
        <v>0</v>
      </c>
      <c r="AV293" s="9">
        <v>0</v>
      </c>
      <c r="AW293" s="9">
        <v>6</v>
      </c>
      <c r="AX293" s="9">
        <v>7</v>
      </c>
      <c r="AY293" s="9">
        <v>2</v>
      </c>
      <c r="AZ293" s="9">
        <v>8</v>
      </c>
    </row>
    <row r="294" spans="2:52">
      <c r="B294" t="str">
        <f t="shared" si="20"/>
        <v>May</v>
      </c>
      <c r="C294" s="43">
        <f t="shared" si="21"/>
        <v>46173</v>
      </c>
      <c r="D294" s="44">
        <f t="shared" si="22"/>
        <v>46172</v>
      </c>
      <c r="E294" s="9" t="s">
        <v>31</v>
      </c>
      <c r="F294">
        <f t="shared" si="23"/>
        <v>0</v>
      </c>
      <c r="G294">
        <f t="shared" si="24"/>
        <v>-98</v>
      </c>
      <c r="AJ294" s="40">
        <v>46172</v>
      </c>
      <c r="AK294" s="9" t="s">
        <v>204</v>
      </c>
      <c r="AL294" s="9" t="s">
        <v>31</v>
      </c>
      <c r="AM294" s="9"/>
      <c r="AN294" s="9">
        <v>79</v>
      </c>
      <c r="AO294" s="9">
        <v>100</v>
      </c>
      <c r="AP294" s="9">
        <v>97</v>
      </c>
      <c r="AQ294" s="9">
        <v>89</v>
      </c>
      <c r="AR294" s="9">
        <v>90</v>
      </c>
      <c r="AS294" s="9">
        <v>106</v>
      </c>
      <c r="AT294" s="9">
        <v>107</v>
      </c>
      <c r="AU294" s="9">
        <v>100</v>
      </c>
      <c r="AV294" s="9">
        <v>0</v>
      </c>
      <c r="AW294" s="9">
        <v>0</v>
      </c>
      <c r="AX294" s="9">
        <v>11</v>
      </c>
      <c r="AY294" s="9">
        <v>3</v>
      </c>
      <c r="AZ294" s="9">
        <v>18</v>
      </c>
    </row>
    <row r="295" spans="2:52">
      <c r="B295" t="str">
        <f t="shared" si="20"/>
        <v>May</v>
      </c>
      <c r="C295" s="43">
        <f t="shared" si="21"/>
        <v>46173</v>
      </c>
      <c r="D295" s="44">
        <f t="shared" si="22"/>
        <v>46172</v>
      </c>
      <c r="E295" s="9" t="s">
        <v>39</v>
      </c>
      <c r="F295">
        <f t="shared" si="23"/>
        <v>0</v>
      </c>
      <c r="G295">
        <f t="shared" si="24"/>
        <v>9</v>
      </c>
      <c r="AJ295" s="40">
        <v>46172</v>
      </c>
      <c r="AK295" s="9" t="s">
        <v>205</v>
      </c>
      <c r="AL295" s="9" t="s">
        <v>39</v>
      </c>
      <c r="AM295" s="9"/>
      <c r="AN295" s="9">
        <v>101</v>
      </c>
      <c r="AO295" s="9">
        <v>118</v>
      </c>
      <c r="AP295" s="9">
        <v>90</v>
      </c>
      <c r="AQ295" s="9">
        <v>82</v>
      </c>
      <c r="AR295" s="9">
        <v>69</v>
      </c>
      <c r="AS295" s="9">
        <v>82</v>
      </c>
      <c r="AT295" s="9">
        <v>111</v>
      </c>
      <c r="AU295" s="9">
        <v>76</v>
      </c>
      <c r="AV295" s="9">
        <v>76</v>
      </c>
      <c r="AW295" s="9">
        <v>87</v>
      </c>
      <c r="AX295" s="9">
        <v>240</v>
      </c>
      <c r="AY295" s="9">
        <v>226</v>
      </c>
      <c r="AZ295" s="9">
        <v>185</v>
      </c>
    </row>
    <row r="296" spans="2:52">
      <c r="B296" t="str">
        <f t="shared" si="20"/>
        <v>May</v>
      </c>
      <c r="C296" s="43">
        <f t="shared" si="21"/>
        <v>46173</v>
      </c>
      <c r="D296" s="44">
        <f t="shared" si="22"/>
        <v>46172</v>
      </c>
      <c r="E296" s="9" t="s">
        <v>40</v>
      </c>
      <c r="F296">
        <f t="shared" si="23"/>
        <v>0</v>
      </c>
      <c r="G296">
        <f t="shared" si="24"/>
        <v>-23</v>
      </c>
      <c r="AJ296" s="40">
        <v>46172</v>
      </c>
      <c r="AK296" s="9" t="s">
        <v>205</v>
      </c>
      <c r="AL296" s="9" t="s">
        <v>40</v>
      </c>
      <c r="AM296" s="9"/>
      <c r="AN296" s="9">
        <v>132</v>
      </c>
      <c r="AO296" s="9">
        <v>124</v>
      </c>
      <c r="AP296" s="9">
        <v>0</v>
      </c>
      <c r="AQ296" s="9">
        <v>10</v>
      </c>
      <c r="AR296" s="9">
        <v>31</v>
      </c>
      <c r="AS296" s="9">
        <v>81</v>
      </c>
      <c r="AT296" s="9">
        <v>0</v>
      </c>
      <c r="AU296" s="9">
        <v>0</v>
      </c>
      <c r="AV296" s="9">
        <v>0</v>
      </c>
      <c r="AW296" s="9">
        <v>27</v>
      </c>
      <c r="AX296" s="9">
        <v>0</v>
      </c>
      <c r="AY296" s="9">
        <v>31</v>
      </c>
      <c r="AZ296" s="9">
        <v>0</v>
      </c>
    </row>
    <row r="297" spans="2:52">
      <c r="B297" t="str">
        <f t="shared" si="20"/>
        <v>May</v>
      </c>
      <c r="C297" s="43">
        <f t="shared" si="21"/>
        <v>46173</v>
      </c>
      <c r="D297" s="44">
        <f t="shared" si="22"/>
        <v>46172</v>
      </c>
      <c r="E297" s="9" t="s">
        <v>41</v>
      </c>
      <c r="F297">
        <f t="shared" si="23"/>
        <v>0</v>
      </c>
      <c r="G297">
        <f t="shared" si="24"/>
        <v>-21</v>
      </c>
      <c r="AJ297" s="40">
        <v>46172</v>
      </c>
      <c r="AK297" s="9" t="s">
        <v>41</v>
      </c>
      <c r="AL297" s="9" t="s">
        <v>41</v>
      </c>
      <c r="AM297" s="9"/>
      <c r="AN297" s="9">
        <v>33</v>
      </c>
      <c r="AO297" s="9">
        <v>35</v>
      </c>
      <c r="AP297" s="9">
        <v>0</v>
      </c>
      <c r="AQ297" s="9">
        <v>6</v>
      </c>
      <c r="AR297" s="9">
        <v>7</v>
      </c>
      <c r="AS297" s="9">
        <v>29</v>
      </c>
      <c r="AT297" s="9">
        <v>0</v>
      </c>
      <c r="AU297" s="9">
        <v>1</v>
      </c>
      <c r="AV297" s="9">
        <v>5</v>
      </c>
      <c r="AW297" s="9">
        <v>8</v>
      </c>
      <c r="AX297" s="9">
        <v>4</v>
      </c>
      <c r="AY297" s="9">
        <v>6</v>
      </c>
      <c r="AZ297" s="9">
        <v>0</v>
      </c>
    </row>
    <row r="298" spans="2:52">
      <c r="B298" t="str">
        <f t="shared" si="20"/>
        <v>May</v>
      </c>
      <c r="C298" s="43">
        <f t="shared" si="21"/>
        <v>46173</v>
      </c>
      <c r="D298" s="44">
        <f t="shared" si="22"/>
        <v>46172</v>
      </c>
      <c r="E298" s="9" t="s">
        <v>45</v>
      </c>
      <c r="F298">
        <f t="shared" si="23"/>
        <v>0</v>
      </c>
      <c r="G298">
        <f t="shared" si="24"/>
        <v>-80</v>
      </c>
      <c r="AJ298" s="40">
        <v>46172</v>
      </c>
      <c r="AK298" s="9" t="s">
        <v>202</v>
      </c>
      <c r="AL298" s="9" t="s">
        <v>45</v>
      </c>
      <c r="AM298" s="9"/>
      <c r="AN298" s="9">
        <v>0</v>
      </c>
      <c r="AO298" s="9">
        <v>11</v>
      </c>
      <c r="AP298" s="9">
        <v>5</v>
      </c>
      <c r="AQ298" s="9">
        <v>0</v>
      </c>
      <c r="AR298" s="9">
        <v>0</v>
      </c>
      <c r="AS298" s="9">
        <v>0</v>
      </c>
      <c r="AT298" s="9">
        <v>30</v>
      </c>
      <c r="AU298" s="9">
        <v>28</v>
      </c>
      <c r="AV298" s="9">
        <v>27</v>
      </c>
      <c r="AW298" s="9">
        <v>32</v>
      </c>
      <c r="AX298" s="9">
        <v>28</v>
      </c>
      <c r="AY298" s="9">
        <v>20</v>
      </c>
      <c r="AZ298" s="9">
        <v>0</v>
      </c>
    </row>
    <row r="299" spans="2:52">
      <c r="B299" t="str">
        <f t="shared" si="20"/>
        <v>May</v>
      </c>
      <c r="C299" s="43">
        <f t="shared" si="21"/>
        <v>46173</v>
      </c>
      <c r="D299" s="44">
        <f t="shared" si="22"/>
        <v>46172</v>
      </c>
      <c r="E299" s="9" t="s">
        <v>46</v>
      </c>
      <c r="F299">
        <f t="shared" si="23"/>
        <v>0</v>
      </c>
      <c r="G299">
        <f t="shared" si="24"/>
        <v>50</v>
      </c>
      <c r="AJ299" s="40">
        <v>46172</v>
      </c>
      <c r="AK299" s="9" t="s">
        <v>202</v>
      </c>
      <c r="AL299" s="9" t="s">
        <v>46</v>
      </c>
      <c r="AM299" s="9"/>
      <c r="AN299" s="9">
        <v>9</v>
      </c>
      <c r="AO299" s="9">
        <v>13</v>
      </c>
      <c r="AP299" s="9">
        <v>16</v>
      </c>
      <c r="AQ299" s="9">
        <v>16</v>
      </c>
      <c r="AR299" s="9">
        <v>20</v>
      </c>
      <c r="AS299" s="9">
        <v>16</v>
      </c>
      <c r="AT299" s="9">
        <v>0</v>
      </c>
      <c r="AU299" s="9">
        <v>9</v>
      </c>
      <c r="AV299" s="9">
        <v>10</v>
      </c>
      <c r="AW299" s="9">
        <v>51</v>
      </c>
      <c r="AX299" s="9">
        <v>48</v>
      </c>
      <c r="AY299" s="9">
        <v>46</v>
      </c>
      <c r="AZ299" s="9">
        <v>50</v>
      </c>
    </row>
    <row r="300" spans="2:52">
      <c r="B300" t="str">
        <f t="shared" si="20"/>
        <v>May</v>
      </c>
      <c r="C300" s="43">
        <f t="shared" si="21"/>
        <v>46173</v>
      </c>
      <c r="D300" s="44">
        <f t="shared" si="22"/>
        <v>46172</v>
      </c>
      <c r="E300" s="9" t="s">
        <v>47</v>
      </c>
      <c r="F300">
        <f t="shared" si="23"/>
        <v>0</v>
      </c>
      <c r="G300">
        <f t="shared" si="24"/>
        <v>-26</v>
      </c>
      <c r="AJ300" s="40">
        <v>46172</v>
      </c>
      <c r="AK300" s="9" t="s">
        <v>202</v>
      </c>
      <c r="AL300" s="9" t="s">
        <v>47</v>
      </c>
      <c r="AM300" s="9"/>
      <c r="AN300" s="9">
        <v>22</v>
      </c>
      <c r="AO300" s="9">
        <v>20</v>
      </c>
      <c r="AP300" s="9">
        <v>19</v>
      </c>
      <c r="AQ300" s="9">
        <v>24</v>
      </c>
      <c r="AR300" s="9">
        <v>22</v>
      </c>
      <c r="AS300" s="9">
        <v>27</v>
      </c>
      <c r="AT300" s="9">
        <v>25</v>
      </c>
      <c r="AU300" s="9">
        <v>0</v>
      </c>
      <c r="AV300" s="9">
        <v>10</v>
      </c>
      <c r="AW300" s="9">
        <v>0</v>
      </c>
      <c r="AX300" s="9">
        <v>0</v>
      </c>
      <c r="AY300" s="9">
        <v>0</v>
      </c>
      <c r="AZ300" s="9">
        <v>0</v>
      </c>
    </row>
    <row r="301" spans="2:52">
      <c r="B301" t="str">
        <f t="shared" si="20"/>
        <v>May</v>
      </c>
      <c r="C301" s="43">
        <f t="shared" si="21"/>
        <v>46173</v>
      </c>
      <c r="D301" s="44">
        <f t="shared" si="22"/>
        <v>46172</v>
      </c>
      <c r="E301" s="9" t="s">
        <v>206</v>
      </c>
      <c r="F301">
        <f t="shared" si="23"/>
        <v>0</v>
      </c>
      <c r="G301">
        <f t="shared" si="24"/>
        <v>8</v>
      </c>
      <c r="AJ301" s="40">
        <v>46172</v>
      </c>
      <c r="AK301" s="9" t="s">
        <v>43</v>
      </c>
      <c r="AL301" s="9" t="s">
        <v>206</v>
      </c>
      <c r="AM301" s="9"/>
      <c r="AN301" s="9">
        <v>13</v>
      </c>
      <c r="AO301" s="9">
        <v>0</v>
      </c>
      <c r="AP301" s="9">
        <v>38</v>
      </c>
      <c r="AQ301" s="9">
        <v>39</v>
      </c>
      <c r="AR301" s="9">
        <v>45</v>
      </c>
      <c r="AS301" s="9">
        <v>40</v>
      </c>
      <c r="AT301" s="9">
        <v>42</v>
      </c>
      <c r="AU301" s="9">
        <v>84</v>
      </c>
      <c r="AV301" s="9">
        <v>76</v>
      </c>
      <c r="AW301" s="9">
        <v>85</v>
      </c>
      <c r="AX301" s="9">
        <v>79</v>
      </c>
      <c r="AY301" s="9">
        <v>0</v>
      </c>
      <c r="AZ301" s="9">
        <v>8</v>
      </c>
    </row>
    <row r="302" spans="2:52">
      <c r="B302" t="str">
        <f t="shared" si="20"/>
        <v>May</v>
      </c>
      <c r="C302" s="43">
        <f t="shared" si="21"/>
        <v>46173</v>
      </c>
      <c r="D302" s="44">
        <f t="shared" si="22"/>
        <v>46172</v>
      </c>
      <c r="E302" s="9" t="s">
        <v>207</v>
      </c>
      <c r="F302">
        <f t="shared" si="23"/>
        <v>0</v>
      </c>
      <c r="G302">
        <f t="shared" si="24"/>
        <v>-1</v>
      </c>
      <c r="AJ302" s="40">
        <v>46172</v>
      </c>
      <c r="AK302" s="9" t="s">
        <v>203</v>
      </c>
      <c r="AL302" s="9" t="s">
        <v>207</v>
      </c>
      <c r="AM302" s="9"/>
      <c r="AN302" s="9">
        <v>70</v>
      </c>
      <c r="AO302" s="9">
        <v>62</v>
      </c>
      <c r="AP302" s="9">
        <v>0</v>
      </c>
      <c r="AQ302" s="9">
        <v>6</v>
      </c>
      <c r="AR302" s="9">
        <v>6</v>
      </c>
      <c r="AS302" s="9">
        <v>7</v>
      </c>
      <c r="AT302" s="9">
        <v>0</v>
      </c>
      <c r="AU302" s="9">
        <v>2</v>
      </c>
      <c r="AV302" s="9">
        <v>0</v>
      </c>
      <c r="AW302" s="9">
        <v>0</v>
      </c>
      <c r="AX302" s="9">
        <v>16</v>
      </c>
      <c r="AY302" s="9">
        <v>113</v>
      </c>
      <c r="AZ302" s="9">
        <v>0</v>
      </c>
    </row>
    <row r="303" spans="2:52">
      <c r="B303" t="str">
        <f t="shared" si="20"/>
        <v>May</v>
      </c>
      <c r="C303" s="43">
        <f t="shared" si="21"/>
        <v>46173</v>
      </c>
      <c r="D303" s="44">
        <f t="shared" si="22"/>
        <v>46172</v>
      </c>
      <c r="E303" s="9" t="s">
        <v>42</v>
      </c>
      <c r="F303">
        <f t="shared" si="23"/>
        <v>0</v>
      </c>
      <c r="G303">
        <f t="shared" si="24"/>
        <v>-8</v>
      </c>
      <c r="AJ303" s="40">
        <v>46172</v>
      </c>
      <c r="AK303" s="9" t="s">
        <v>42</v>
      </c>
      <c r="AL303" s="9" t="s">
        <v>42</v>
      </c>
      <c r="AM303" s="9"/>
      <c r="AN303" s="9">
        <v>18</v>
      </c>
      <c r="AO303" s="9">
        <v>0</v>
      </c>
      <c r="AP303" s="9">
        <v>0</v>
      </c>
      <c r="AQ303" s="9">
        <v>20</v>
      </c>
      <c r="AR303" s="9">
        <v>52</v>
      </c>
      <c r="AS303" s="9">
        <v>59</v>
      </c>
      <c r="AT303" s="9">
        <v>61</v>
      </c>
      <c r="AU303" s="9">
        <v>67</v>
      </c>
      <c r="AV303" s="9">
        <v>68</v>
      </c>
      <c r="AW303" s="9">
        <v>0</v>
      </c>
      <c r="AX303" s="9">
        <v>48</v>
      </c>
      <c r="AY303" s="9">
        <v>0</v>
      </c>
      <c r="AZ303" s="9">
        <v>0</v>
      </c>
    </row>
    <row r="304" spans="2:52">
      <c r="B304" t="str">
        <f t="shared" si="20"/>
        <v>Jun</v>
      </c>
      <c r="C304" s="43">
        <f t="shared" si="21"/>
        <v>46180</v>
      </c>
      <c r="D304" s="44">
        <f t="shared" si="22"/>
        <v>46173</v>
      </c>
      <c r="E304" s="9" t="s">
        <v>31</v>
      </c>
      <c r="F304">
        <f t="shared" si="23"/>
        <v>0</v>
      </c>
      <c r="G304">
        <f t="shared" si="24"/>
        <v>-18</v>
      </c>
      <c r="AJ304" s="40">
        <v>46173</v>
      </c>
      <c r="AK304" s="9" t="s">
        <v>204</v>
      </c>
      <c r="AL304" s="9" t="s">
        <v>31</v>
      </c>
      <c r="AM304" s="9"/>
      <c r="AN304" s="9">
        <v>85</v>
      </c>
      <c r="AO304" s="9">
        <v>166</v>
      </c>
      <c r="AP304" s="9">
        <v>218</v>
      </c>
      <c r="AQ304" s="9">
        <v>210</v>
      </c>
      <c r="AR304" s="9">
        <v>225</v>
      </c>
      <c r="AS304" s="9">
        <v>236</v>
      </c>
      <c r="AT304" s="9">
        <v>240</v>
      </c>
      <c r="AU304" s="9">
        <v>240</v>
      </c>
      <c r="AV304" s="9">
        <v>223</v>
      </c>
      <c r="AW304" s="9">
        <v>216</v>
      </c>
      <c r="AX304" s="9">
        <v>229</v>
      </c>
      <c r="AY304" s="9">
        <v>216</v>
      </c>
      <c r="AZ304" s="9">
        <v>0</v>
      </c>
    </row>
    <row r="305" spans="2:52">
      <c r="B305" t="str">
        <f t="shared" si="20"/>
        <v>Jun</v>
      </c>
      <c r="C305" s="43">
        <f t="shared" si="21"/>
        <v>46180</v>
      </c>
      <c r="D305" s="44">
        <f t="shared" si="22"/>
        <v>46173</v>
      </c>
      <c r="E305" s="9" t="s">
        <v>39</v>
      </c>
      <c r="F305">
        <f t="shared" si="23"/>
        <v>0</v>
      </c>
      <c r="G305">
        <f t="shared" si="24"/>
        <v>-178</v>
      </c>
      <c r="AJ305" s="40">
        <v>46173</v>
      </c>
      <c r="AK305" s="9" t="s">
        <v>205</v>
      </c>
      <c r="AL305" s="9" t="s">
        <v>39</v>
      </c>
      <c r="AM305" s="9"/>
      <c r="AN305" s="9">
        <v>0</v>
      </c>
      <c r="AO305" s="9">
        <v>52</v>
      </c>
      <c r="AP305" s="9">
        <v>0</v>
      </c>
      <c r="AQ305" s="9">
        <v>12</v>
      </c>
      <c r="AR305" s="9">
        <v>0</v>
      </c>
      <c r="AS305" s="9">
        <v>13</v>
      </c>
      <c r="AT305" s="9">
        <v>0</v>
      </c>
      <c r="AU305" s="9">
        <v>0</v>
      </c>
      <c r="AV305" s="9">
        <v>0</v>
      </c>
      <c r="AW305" s="9">
        <v>19</v>
      </c>
      <c r="AX305" s="9">
        <v>0</v>
      </c>
      <c r="AY305" s="9">
        <v>6</v>
      </c>
      <c r="AZ305" s="9">
        <v>7</v>
      </c>
    </row>
    <row r="306" spans="2:52">
      <c r="B306" t="str">
        <f t="shared" si="20"/>
        <v>Jun</v>
      </c>
      <c r="C306" s="43">
        <f t="shared" si="21"/>
        <v>46180</v>
      </c>
      <c r="D306" s="44">
        <f t="shared" si="22"/>
        <v>46173</v>
      </c>
      <c r="E306" s="9" t="s">
        <v>40</v>
      </c>
      <c r="F306">
        <f t="shared" si="23"/>
        <v>0</v>
      </c>
      <c r="G306">
        <f t="shared" si="24"/>
        <v>61</v>
      </c>
      <c r="AJ306" s="40">
        <v>46173</v>
      </c>
      <c r="AK306" s="9" t="s">
        <v>205</v>
      </c>
      <c r="AL306" s="9" t="s">
        <v>40</v>
      </c>
      <c r="AM306" s="9"/>
      <c r="AN306" s="9">
        <v>0</v>
      </c>
      <c r="AO306" s="9">
        <v>9</v>
      </c>
      <c r="AP306" s="9">
        <v>8</v>
      </c>
      <c r="AQ306" s="9">
        <v>13</v>
      </c>
      <c r="AR306" s="9">
        <v>68</v>
      </c>
      <c r="AS306" s="9">
        <v>73</v>
      </c>
      <c r="AT306" s="9">
        <v>82</v>
      </c>
      <c r="AU306" s="9">
        <v>78</v>
      </c>
      <c r="AV306" s="9">
        <v>64</v>
      </c>
      <c r="AW306" s="9">
        <v>62</v>
      </c>
      <c r="AX306" s="9">
        <v>59</v>
      </c>
      <c r="AY306" s="9">
        <v>63</v>
      </c>
      <c r="AZ306" s="9">
        <v>61</v>
      </c>
    </row>
    <row r="307" spans="2:52">
      <c r="B307" t="str">
        <f t="shared" si="20"/>
        <v>Jun</v>
      </c>
      <c r="C307" s="43">
        <f t="shared" si="21"/>
        <v>46180</v>
      </c>
      <c r="D307" s="44">
        <f t="shared" si="22"/>
        <v>46173</v>
      </c>
      <c r="E307" s="9" t="s">
        <v>41</v>
      </c>
      <c r="F307">
        <f t="shared" si="23"/>
        <v>0</v>
      </c>
      <c r="G307">
        <f t="shared" si="24"/>
        <v>0</v>
      </c>
      <c r="AJ307" s="40">
        <v>46173</v>
      </c>
      <c r="AK307" s="9" t="s">
        <v>41</v>
      </c>
      <c r="AL307" s="9" t="s">
        <v>41</v>
      </c>
      <c r="AM307" s="9"/>
      <c r="AN307" s="9">
        <v>10</v>
      </c>
      <c r="AO307" s="9">
        <v>13</v>
      </c>
      <c r="AP307" s="9">
        <v>0</v>
      </c>
      <c r="AQ307" s="9">
        <v>11</v>
      </c>
      <c r="AR307" s="9">
        <v>16</v>
      </c>
      <c r="AS307" s="9">
        <v>21</v>
      </c>
      <c r="AT307" s="9">
        <v>19</v>
      </c>
      <c r="AU307" s="9">
        <v>23</v>
      </c>
      <c r="AV307" s="9">
        <v>21</v>
      </c>
      <c r="AW307" s="9">
        <v>23</v>
      </c>
      <c r="AX307" s="9">
        <v>20</v>
      </c>
      <c r="AY307" s="9">
        <v>0</v>
      </c>
      <c r="AZ307" s="9">
        <v>0</v>
      </c>
    </row>
    <row r="308" spans="2:52">
      <c r="B308" t="str">
        <f t="shared" si="20"/>
        <v>Jun</v>
      </c>
      <c r="C308" s="43">
        <f t="shared" si="21"/>
        <v>46180</v>
      </c>
      <c r="D308" s="44">
        <f t="shared" si="22"/>
        <v>46173</v>
      </c>
      <c r="E308" s="9" t="s">
        <v>45</v>
      </c>
      <c r="F308">
        <f t="shared" si="23"/>
        <v>0</v>
      </c>
      <c r="G308">
        <f t="shared" si="24"/>
        <v>23</v>
      </c>
      <c r="AJ308" s="40">
        <v>46173</v>
      </c>
      <c r="AK308" s="9" t="s">
        <v>202</v>
      </c>
      <c r="AL308" s="9" t="s">
        <v>45</v>
      </c>
      <c r="AM308" s="9"/>
      <c r="AN308" s="9">
        <v>0</v>
      </c>
      <c r="AO308" s="9">
        <v>19</v>
      </c>
      <c r="AP308" s="9">
        <v>27</v>
      </c>
      <c r="AQ308" s="9">
        <v>30</v>
      </c>
      <c r="AR308" s="9">
        <v>26</v>
      </c>
      <c r="AS308" s="9">
        <v>30</v>
      </c>
      <c r="AT308" s="9">
        <v>31</v>
      </c>
      <c r="AU308" s="9">
        <v>32</v>
      </c>
      <c r="AV308" s="9">
        <v>25</v>
      </c>
      <c r="AW308" s="9">
        <v>0</v>
      </c>
      <c r="AX308" s="9">
        <v>0</v>
      </c>
      <c r="AY308" s="9">
        <v>0</v>
      </c>
      <c r="AZ308" s="9">
        <v>23</v>
      </c>
    </row>
    <row r="309" spans="2:52">
      <c r="B309" t="str">
        <f t="shared" si="20"/>
        <v>Jun</v>
      </c>
      <c r="C309" s="43">
        <f t="shared" si="21"/>
        <v>46180</v>
      </c>
      <c r="D309" s="44">
        <f t="shared" si="22"/>
        <v>46173</v>
      </c>
      <c r="E309" s="9" t="s">
        <v>46</v>
      </c>
      <c r="F309">
        <f t="shared" si="23"/>
        <v>0</v>
      </c>
      <c r="G309">
        <f t="shared" si="24"/>
        <v>-50</v>
      </c>
      <c r="AJ309" s="40">
        <v>46173</v>
      </c>
      <c r="AK309" s="9" t="s">
        <v>202</v>
      </c>
      <c r="AL309" s="9" t="s">
        <v>46</v>
      </c>
      <c r="AM309" s="9"/>
      <c r="AN309" s="9">
        <v>0</v>
      </c>
      <c r="AO309" s="9">
        <v>0</v>
      </c>
      <c r="AP309" s="9">
        <v>3</v>
      </c>
      <c r="AQ309" s="9">
        <v>43</v>
      </c>
      <c r="AR309" s="9">
        <v>40</v>
      </c>
      <c r="AS309" s="9">
        <v>57</v>
      </c>
      <c r="AT309" s="9">
        <v>28</v>
      </c>
      <c r="AU309" s="9">
        <v>75</v>
      </c>
      <c r="AV309" s="9">
        <v>140</v>
      </c>
      <c r="AW309" s="9">
        <v>143</v>
      </c>
      <c r="AX309" s="9">
        <v>147</v>
      </c>
      <c r="AY309" s="9">
        <v>143</v>
      </c>
      <c r="AZ309" s="9">
        <v>0</v>
      </c>
    </row>
    <row r="310" spans="2:52">
      <c r="B310" t="str">
        <f t="shared" si="20"/>
        <v>Jun</v>
      </c>
      <c r="C310" s="43">
        <f t="shared" si="21"/>
        <v>46180</v>
      </c>
      <c r="D310" s="44">
        <f t="shared" si="22"/>
        <v>46173</v>
      </c>
      <c r="E310" s="9" t="s">
        <v>47</v>
      </c>
      <c r="F310">
        <f t="shared" si="23"/>
        <v>0</v>
      </c>
      <c r="G310">
        <f t="shared" si="24"/>
        <v>58</v>
      </c>
      <c r="AJ310" s="40">
        <v>46173</v>
      </c>
      <c r="AK310" s="9" t="s">
        <v>202</v>
      </c>
      <c r="AL310" s="9" t="s">
        <v>47</v>
      </c>
      <c r="AM310" s="9"/>
      <c r="AN310" s="9">
        <v>0</v>
      </c>
      <c r="AO310" s="9">
        <v>5</v>
      </c>
      <c r="AP310" s="9">
        <v>0</v>
      </c>
      <c r="AQ310" s="9">
        <v>0</v>
      </c>
      <c r="AR310" s="9">
        <v>0</v>
      </c>
      <c r="AS310" s="9">
        <v>0</v>
      </c>
      <c r="AT310" s="9">
        <v>16</v>
      </c>
      <c r="AU310" s="9">
        <v>18</v>
      </c>
      <c r="AV310" s="9">
        <v>66</v>
      </c>
      <c r="AW310" s="9">
        <v>66</v>
      </c>
      <c r="AX310" s="9">
        <v>63</v>
      </c>
      <c r="AY310" s="9">
        <v>60</v>
      </c>
      <c r="AZ310" s="9">
        <v>58</v>
      </c>
    </row>
    <row r="311" spans="2:52">
      <c r="B311" t="str">
        <f t="shared" si="20"/>
        <v>Jun</v>
      </c>
      <c r="C311" s="43">
        <f t="shared" si="21"/>
        <v>46180</v>
      </c>
      <c r="D311" s="44">
        <f t="shared" si="22"/>
        <v>46173</v>
      </c>
      <c r="E311" s="9" t="s">
        <v>206</v>
      </c>
      <c r="F311">
        <f t="shared" si="23"/>
        <v>0</v>
      </c>
      <c r="G311">
        <f t="shared" si="24"/>
        <v>-8</v>
      </c>
      <c r="AJ311" s="40">
        <v>46173</v>
      </c>
      <c r="AK311" s="9" t="s">
        <v>43</v>
      </c>
      <c r="AL311" s="9" t="s">
        <v>206</v>
      </c>
      <c r="AM311" s="9"/>
      <c r="AN311" s="9">
        <v>20</v>
      </c>
      <c r="AO311" s="9">
        <v>20</v>
      </c>
      <c r="AP311" s="9">
        <v>21</v>
      </c>
      <c r="AQ311" s="9">
        <v>89</v>
      </c>
      <c r="AR311" s="9">
        <v>81</v>
      </c>
      <c r="AS311" s="9">
        <v>0</v>
      </c>
      <c r="AT311" s="9">
        <v>0</v>
      </c>
      <c r="AU311" s="9">
        <v>58</v>
      </c>
      <c r="AV311" s="9">
        <v>86</v>
      </c>
      <c r="AW311" s="9">
        <v>78</v>
      </c>
      <c r="AX311" s="9">
        <v>0</v>
      </c>
      <c r="AY311" s="9">
        <v>2</v>
      </c>
      <c r="AZ311" s="9">
        <v>0</v>
      </c>
    </row>
    <row r="312" spans="2:52">
      <c r="B312" t="str">
        <f t="shared" si="20"/>
        <v>Jun</v>
      </c>
      <c r="C312" s="43">
        <f t="shared" si="21"/>
        <v>46180</v>
      </c>
      <c r="D312" s="44">
        <f t="shared" si="22"/>
        <v>46173</v>
      </c>
      <c r="E312" s="9" t="s">
        <v>207</v>
      </c>
      <c r="F312">
        <f t="shared" si="23"/>
        <v>0</v>
      </c>
      <c r="G312">
        <f t="shared" si="24"/>
        <v>0</v>
      </c>
      <c r="AJ312" s="40">
        <v>46173</v>
      </c>
      <c r="AK312" s="9" t="s">
        <v>203</v>
      </c>
      <c r="AL312" s="9" t="s">
        <v>207</v>
      </c>
      <c r="AM312" s="9"/>
      <c r="AN312" s="9">
        <v>21</v>
      </c>
      <c r="AO312" s="9">
        <v>27</v>
      </c>
      <c r="AP312" s="9">
        <v>35</v>
      </c>
      <c r="AQ312" s="9">
        <v>34</v>
      </c>
      <c r="AR312" s="9">
        <v>0</v>
      </c>
      <c r="AS312" s="9">
        <v>0</v>
      </c>
      <c r="AT312" s="9">
        <v>165</v>
      </c>
      <c r="AU312" s="9">
        <v>168</v>
      </c>
      <c r="AV312" s="9">
        <v>0</v>
      </c>
      <c r="AW312" s="9">
        <v>27</v>
      </c>
      <c r="AX312" s="9">
        <v>33</v>
      </c>
      <c r="AY312" s="9">
        <v>37</v>
      </c>
      <c r="AZ312" s="9">
        <v>0</v>
      </c>
    </row>
    <row r="313" spans="2:52">
      <c r="B313" t="str">
        <f t="shared" si="20"/>
        <v>Jun</v>
      </c>
      <c r="C313" s="43">
        <f t="shared" si="21"/>
        <v>46180</v>
      </c>
      <c r="D313" s="44">
        <f t="shared" si="22"/>
        <v>46173</v>
      </c>
      <c r="E313" s="9" t="s">
        <v>42</v>
      </c>
      <c r="F313">
        <f t="shared" si="23"/>
        <v>0</v>
      </c>
      <c r="G313">
        <f t="shared" si="24"/>
        <v>0</v>
      </c>
      <c r="AJ313" s="40">
        <v>46173</v>
      </c>
      <c r="AK313" s="9" t="s">
        <v>42</v>
      </c>
      <c r="AL313" s="9" t="s">
        <v>42</v>
      </c>
      <c r="AM313" s="9"/>
      <c r="AN313" s="9">
        <v>41</v>
      </c>
      <c r="AO313" s="9">
        <v>46</v>
      </c>
      <c r="AP313" s="9">
        <v>46</v>
      </c>
      <c r="AQ313" s="9">
        <v>42</v>
      </c>
      <c r="AR313" s="9">
        <v>45</v>
      </c>
      <c r="AS313" s="9">
        <v>44</v>
      </c>
      <c r="AT313" s="9">
        <v>43</v>
      </c>
      <c r="AU313" s="9">
        <v>41</v>
      </c>
      <c r="AV313" s="9">
        <v>0</v>
      </c>
      <c r="AW313" s="9">
        <v>21</v>
      </c>
      <c r="AX313" s="9">
        <v>0</v>
      </c>
      <c r="AY313" s="9">
        <v>6</v>
      </c>
      <c r="AZ313" s="9">
        <v>0</v>
      </c>
    </row>
    <row r="314" spans="2:52">
      <c r="B314" t="str">
        <f t="shared" si="20"/>
        <v>Jun</v>
      </c>
      <c r="C314" s="43">
        <f t="shared" si="21"/>
        <v>46180</v>
      </c>
      <c r="D314" s="44">
        <f t="shared" si="22"/>
        <v>46174</v>
      </c>
      <c r="E314" s="9" t="s">
        <v>31</v>
      </c>
      <c r="F314">
        <f t="shared" si="23"/>
        <v>0</v>
      </c>
      <c r="G314">
        <f t="shared" si="24"/>
        <v>128</v>
      </c>
      <c r="AJ314" s="40">
        <v>46174</v>
      </c>
      <c r="AK314" s="9" t="s">
        <v>204</v>
      </c>
      <c r="AL314" s="9" t="s">
        <v>31</v>
      </c>
      <c r="AM314" s="9"/>
      <c r="AN314" s="9">
        <v>106</v>
      </c>
      <c r="AO314" s="9">
        <v>116</v>
      </c>
      <c r="AP314" s="9">
        <v>122</v>
      </c>
      <c r="AQ314" s="9">
        <v>119</v>
      </c>
      <c r="AR314" s="9">
        <v>133</v>
      </c>
      <c r="AS314" s="9">
        <v>143</v>
      </c>
      <c r="AT314" s="9">
        <v>137</v>
      </c>
      <c r="AU314" s="9">
        <v>138</v>
      </c>
      <c r="AV314" s="9">
        <v>130</v>
      </c>
      <c r="AW314" s="9">
        <v>119</v>
      </c>
      <c r="AX314" s="9">
        <v>131</v>
      </c>
      <c r="AY314" s="9">
        <v>132</v>
      </c>
      <c r="AZ314" s="9">
        <v>128</v>
      </c>
    </row>
    <row r="315" spans="2:52">
      <c r="B315" t="str">
        <f t="shared" si="20"/>
        <v>Jun</v>
      </c>
      <c r="C315" s="43">
        <f t="shared" si="21"/>
        <v>46180</v>
      </c>
      <c r="D315" s="44">
        <f t="shared" si="22"/>
        <v>46174</v>
      </c>
      <c r="E315" s="9" t="s">
        <v>39</v>
      </c>
      <c r="F315">
        <f t="shared" si="23"/>
        <v>0</v>
      </c>
      <c r="G315">
        <f t="shared" si="24"/>
        <v>70</v>
      </c>
      <c r="AJ315" s="40">
        <v>46174</v>
      </c>
      <c r="AK315" s="9" t="s">
        <v>205</v>
      </c>
      <c r="AL315" s="9" t="s">
        <v>39</v>
      </c>
      <c r="AM315" s="9"/>
      <c r="AN315" s="9">
        <v>52</v>
      </c>
      <c r="AO315" s="9">
        <v>24</v>
      </c>
      <c r="AP315" s="9">
        <v>23</v>
      </c>
      <c r="AQ315" s="9">
        <v>11</v>
      </c>
      <c r="AR315" s="9">
        <v>0</v>
      </c>
      <c r="AS315" s="9">
        <v>0</v>
      </c>
      <c r="AT315" s="9">
        <v>45</v>
      </c>
      <c r="AU315" s="9">
        <v>18</v>
      </c>
      <c r="AV315" s="9">
        <v>0</v>
      </c>
      <c r="AW315" s="9">
        <v>25</v>
      </c>
      <c r="AX315" s="9">
        <v>37</v>
      </c>
      <c r="AY315" s="9">
        <v>32</v>
      </c>
      <c r="AZ315" s="9">
        <v>77</v>
      </c>
    </row>
    <row r="316" spans="2:52">
      <c r="B316" t="str">
        <f t="shared" si="20"/>
        <v>Jun</v>
      </c>
      <c r="C316" s="43">
        <f t="shared" si="21"/>
        <v>46180</v>
      </c>
      <c r="D316" s="44">
        <f t="shared" si="22"/>
        <v>46174</v>
      </c>
      <c r="E316" s="9" t="s">
        <v>40</v>
      </c>
      <c r="F316">
        <f t="shared" si="23"/>
        <v>0</v>
      </c>
      <c r="G316">
        <f t="shared" si="24"/>
        <v>-61</v>
      </c>
      <c r="AJ316" s="40">
        <v>46174</v>
      </c>
      <c r="AK316" s="9" t="s">
        <v>205</v>
      </c>
      <c r="AL316" s="9" t="s">
        <v>40</v>
      </c>
      <c r="AM316" s="9"/>
      <c r="AN316" s="9">
        <v>65</v>
      </c>
      <c r="AO316" s="9">
        <v>58</v>
      </c>
      <c r="AP316" s="9">
        <v>52</v>
      </c>
      <c r="AQ316" s="9">
        <v>48</v>
      </c>
      <c r="AR316" s="9">
        <v>53</v>
      </c>
      <c r="AS316" s="9">
        <v>52</v>
      </c>
      <c r="AT316" s="9">
        <v>0</v>
      </c>
      <c r="AU316" s="9">
        <v>8</v>
      </c>
      <c r="AV316" s="9">
        <v>18</v>
      </c>
      <c r="AW316" s="9">
        <v>8</v>
      </c>
      <c r="AX316" s="9">
        <v>4</v>
      </c>
      <c r="AY316" s="9">
        <v>6</v>
      </c>
      <c r="AZ316" s="9">
        <v>0</v>
      </c>
    </row>
    <row r="317" spans="2:52">
      <c r="B317" t="str">
        <f t="shared" si="20"/>
        <v>Jun</v>
      </c>
      <c r="C317" s="43">
        <f t="shared" si="21"/>
        <v>46180</v>
      </c>
      <c r="D317" s="44">
        <f t="shared" si="22"/>
        <v>46174</v>
      </c>
      <c r="E317" s="9" t="s">
        <v>41</v>
      </c>
      <c r="F317">
        <f t="shared" si="23"/>
        <v>0</v>
      </c>
      <c r="G317">
        <f t="shared" si="24"/>
        <v>0</v>
      </c>
      <c r="AJ317" s="40">
        <v>46174</v>
      </c>
      <c r="AK317" s="9" t="s">
        <v>41</v>
      </c>
      <c r="AL317" s="9" t="s">
        <v>41</v>
      </c>
      <c r="AM317" s="9"/>
      <c r="AN317" s="9">
        <v>12</v>
      </c>
      <c r="AO317" s="9">
        <v>17</v>
      </c>
      <c r="AP317" s="9">
        <v>17</v>
      </c>
      <c r="AQ317" s="9">
        <v>22</v>
      </c>
      <c r="AR317" s="9">
        <v>20</v>
      </c>
      <c r="AS317" s="9">
        <v>19</v>
      </c>
      <c r="AT317" s="9">
        <v>24</v>
      </c>
      <c r="AU317" s="9">
        <v>6</v>
      </c>
      <c r="AV317" s="9">
        <v>4</v>
      </c>
      <c r="AW317" s="9">
        <v>6</v>
      </c>
      <c r="AX317" s="9">
        <v>0</v>
      </c>
      <c r="AY317" s="9">
        <v>0</v>
      </c>
      <c r="AZ317" s="9">
        <v>0</v>
      </c>
    </row>
    <row r="318" spans="2:52">
      <c r="B318" t="str">
        <f t="shared" si="20"/>
        <v>Jun</v>
      </c>
      <c r="C318" s="43">
        <f t="shared" si="21"/>
        <v>46180</v>
      </c>
      <c r="D318" s="44">
        <f t="shared" si="22"/>
        <v>46174</v>
      </c>
      <c r="E318" s="9" t="s">
        <v>45</v>
      </c>
      <c r="F318">
        <f t="shared" si="23"/>
        <v>0</v>
      </c>
      <c r="G318">
        <f t="shared" si="24"/>
        <v>-15</v>
      </c>
      <c r="AJ318" s="40">
        <v>46174</v>
      </c>
      <c r="AK318" s="9" t="s">
        <v>202</v>
      </c>
      <c r="AL318" s="9" t="s">
        <v>45</v>
      </c>
      <c r="AM318" s="9"/>
      <c r="AN318" s="9">
        <v>0</v>
      </c>
      <c r="AO318" s="9">
        <v>0</v>
      </c>
      <c r="AP318" s="9">
        <v>28</v>
      </c>
      <c r="AQ318" s="9">
        <v>27</v>
      </c>
      <c r="AR318" s="9">
        <v>6</v>
      </c>
      <c r="AS318" s="9">
        <v>34</v>
      </c>
      <c r="AT318" s="9">
        <v>0</v>
      </c>
      <c r="AU318" s="9">
        <v>0</v>
      </c>
      <c r="AV318" s="9">
        <v>9</v>
      </c>
      <c r="AW318" s="9">
        <v>0</v>
      </c>
      <c r="AX318" s="9">
        <v>4</v>
      </c>
      <c r="AY318" s="9">
        <v>11</v>
      </c>
      <c r="AZ318" s="9">
        <v>8</v>
      </c>
    </row>
    <row r="319" spans="2:52">
      <c r="B319" t="str">
        <f t="shared" si="20"/>
        <v>Jun</v>
      </c>
      <c r="C319" s="43">
        <f t="shared" si="21"/>
        <v>46180</v>
      </c>
      <c r="D319" s="44">
        <f t="shared" si="22"/>
        <v>46174</v>
      </c>
      <c r="E319" s="9" t="s">
        <v>46</v>
      </c>
      <c r="F319">
        <f t="shared" si="23"/>
        <v>0</v>
      </c>
      <c r="G319">
        <f t="shared" si="24"/>
        <v>3</v>
      </c>
      <c r="AJ319" s="40">
        <v>46174</v>
      </c>
      <c r="AK319" s="9" t="s">
        <v>202</v>
      </c>
      <c r="AL319" s="9" t="s">
        <v>46</v>
      </c>
      <c r="AM319" s="9"/>
      <c r="AN319" s="9">
        <v>6</v>
      </c>
      <c r="AO319" s="9">
        <v>8</v>
      </c>
      <c r="AP319" s="9">
        <v>0</v>
      </c>
      <c r="AQ319" s="9">
        <v>13</v>
      </c>
      <c r="AR319" s="9">
        <v>15</v>
      </c>
      <c r="AS319" s="9">
        <v>18</v>
      </c>
      <c r="AT319" s="9">
        <v>17</v>
      </c>
      <c r="AU319" s="9">
        <v>76</v>
      </c>
      <c r="AV319" s="9">
        <v>0</v>
      </c>
      <c r="AW319" s="9">
        <v>4</v>
      </c>
      <c r="AX319" s="9">
        <v>1</v>
      </c>
      <c r="AY319" s="9">
        <v>3</v>
      </c>
      <c r="AZ319" s="9">
        <v>3</v>
      </c>
    </row>
    <row r="320" spans="2:52">
      <c r="B320" t="str">
        <f t="shared" si="20"/>
        <v>Jun</v>
      </c>
      <c r="C320" s="43">
        <f t="shared" si="21"/>
        <v>46180</v>
      </c>
      <c r="D320" s="44">
        <f t="shared" si="22"/>
        <v>46174</v>
      </c>
      <c r="E320" s="9" t="s">
        <v>47</v>
      </c>
      <c r="F320">
        <f t="shared" si="23"/>
        <v>0</v>
      </c>
      <c r="G320">
        <f t="shared" si="24"/>
        <v>-42</v>
      </c>
      <c r="AJ320" s="40">
        <v>46174</v>
      </c>
      <c r="AK320" s="9" t="s">
        <v>202</v>
      </c>
      <c r="AL320" s="9" t="s">
        <v>47</v>
      </c>
      <c r="AM320" s="9"/>
      <c r="AN320" s="9">
        <v>27</v>
      </c>
      <c r="AO320" s="9">
        <v>0</v>
      </c>
      <c r="AP320" s="9">
        <v>13</v>
      </c>
      <c r="AQ320" s="9">
        <v>15</v>
      </c>
      <c r="AR320" s="9">
        <v>19</v>
      </c>
      <c r="AS320" s="9">
        <v>15</v>
      </c>
      <c r="AT320" s="9">
        <v>13</v>
      </c>
      <c r="AU320" s="9">
        <v>13</v>
      </c>
      <c r="AV320" s="9">
        <v>16</v>
      </c>
      <c r="AW320" s="9">
        <v>18</v>
      </c>
      <c r="AX320" s="9">
        <v>19</v>
      </c>
      <c r="AY320" s="9">
        <v>0</v>
      </c>
      <c r="AZ320" s="9">
        <v>16</v>
      </c>
    </row>
    <row r="321" spans="2:52">
      <c r="B321" t="str">
        <f t="shared" si="20"/>
        <v>Jun</v>
      </c>
      <c r="C321" s="43">
        <f t="shared" si="21"/>
        <v>46180</v>
      </c>
      <c r="D321" s="44">
        <f t="shared" si="22"/>
        <v>46174</v>
      </c>
      <c r="E321" s="9" t="s">
        <v>206</v>
      </c>
      <c r="F321">
        <f t="shared" si="23"/>
        <v>0</v>
      </c>
      <c r="G321">
        <f t="shared" si="24"/>
        <v>0</v>
      </c>
      <c r="AJ321" s="40">
        <v>46174</v>
      </c>
      <c r="AK321" s="9" t="s">
        <v>43</v>
      </c>
      <c r="AL321" s="9" t="s">
        <v>206</v>
      </c>
      <c r="AM321" s="9"/>
      <c r="AN321" s="9">
        <v>73</v>
      </c>
      <c r="AO321" s="9">
        <v>76</v>
      </c>
      <c r="AP321" s="9">
        <v>30</v>
      </c>
      <c r="AQ321" s="9">
        <v>36</v>
      </c>
      <c r="AR321" s="9">
        <v>31</v>
      </c>
      <c r="AS321" s="9">
        <v>28</v>
      </c>
      <c r="AT321" s="9">
        <v>30</v>
      </c>
      <c r="AU321" s="9">
        <v>0</v>
      </c>
      <c r="AV321" s="9">
        <v>6</v>
      </c>
      <c r="AW321" s="9">
        <v>16</v>
      </c>
      <c r="AX321" s="9">
        <v>139</v>
      </c>
      <c r="AY321" s="9">
        <v>138</v>
      </c>
      <c r="AZ321" s="9">
        <v>0</v>
      </c>
    </row>
    <row r="322" spans="2:52">
      <c r="B322" t="str">
        <f t="shared" si="20"/>
        <v>Jun</v>
      </c>
      <c r="C322" s="43">
        <f t="shared" si="21"/>
        <v>46180</v>
      </c>
      <c r="D322" s="44">
        <f t="shared" si="22"/>
        <v>46174</v>
      </c>
      <c r="E322" s="9" t="s">
        <v>207</v>
      </c>
      <c r="F322">
        <f t="shared" si="23"/>
        <v>0</v>
      </c>
      <c r="G322">
        <f t="shared" si="24"/>
        <v>31</v>
      </c>
      <c r="AJ322" s="40">
        <v>46174</v>
      </c>
      <c r="AK322" s="9" t="s">
        <v>203</v>
      </c>
      <c r="AL322" s="9" t="s">
        <v>207</v>
      </c>
      <c r="AM322" s="9"/>
      <c r="AN322" s="9">
        <v>0</v>
      </c>
      <c r="AO322" s="9">
        <v>0</v>
      </c>
      <c r="AP322" s="9">
        <v>0</v>
      </c>
      <c r="AQ322" s="9">
        <v>1</v>
      </c>
      <c r="AR322" s="9">
        <v>3</v>
      </c>
      <c r="AS322" s="9">
        <v>0</v>
      </c>
      <c r="AT322" s="9">
        <v>21</v>
      </c>
      <c r="AU322" s="9">
        <v>0</v>
      </c>
      <c r="AV322" s="9">
        <v>9</v>
      </c>
      <c r="AW322" s="9">
        <v>1</v>
      </c>
      <c r="AX322" s="9">
        <v>2</v>
      </c>
      <c r="AY322" s="9">
        <v>0</v>
      </c>
      <c r="AZ322" s="9">
        <v>31</v>
      </c>
    </row>
    <row r="323" spans="2:52">
      <c r="B323" t="str">
        <f t="shared" si="20"/>
        <v>Jun</v>
      </c>
      <c r="C323" s="43">
        <f t="shared" si="21"/>
        <v>46180</v>
      </c>
      <c r="D323" s="44">
        <f t="shared" si="22"/>
        <v>46174</v>
      </c>
      <c r="E323" s="9" t="s">
        <v>42</v>
      </c>
      <c r="F323">
        <f t="shared" si="23"/>
        <v>0</v>
      </c>
      <c r="G323">
        <f t="shared" si="24"/>
        <v>41</v>
      </c>
      <c r="AJ323" s="40">
        <v>46174</v>
      </c>
      <c r="AK323" s="9" t="s">
        <v>42</v>
      </c>
      <c r="AL323" s="9" t="s">
        <v>42</v>
      </c>
      <c r="AM323" s="9"/>
      <c r="AN323" s="9">
        <v>57</v>
      </c>
      <c r="AO323" s="9">
        <v>0</v>
      </c>
      <c r="AP323" s="9">
        <v>4</v>
      </c>
      <c r="AQ323" s="9">
        <v>0</v>
      </c>
      <c r="AR323" s="9">
        <v>13</v>
      </c>
      <c r="AS323" s="9">
        <v>13</v>
      </c>
      <c r="AT323" s="9">
        <v>12</v>
      </c>
      <c r="AU323" s="9">
        <v>10</v>
      </c>
      <c r="AV323" s="9">
        <v>8</v>
      </c>
      <c r="AW323" s="9">
        <v>9</v>
      </c>
      <c r="AX323" s="9">
        <v>5</v>
      </c>
      <c r="AY323" s="9">
        <v>35</v>
      </c>
      <c r="AZ323" s="9">
        <v>41</v>
      </c>
    </row>
    <row r="324" spans="2:52">
      <c r="B324" t="str">
        <f t="shared" si="20"/>
        <v>Jun</v>
      </c>
      <c r="C324" s="43">
        <f t="shared" si="21"/>
        <v>46180</v>
      </c>
      <c r="D324" s="44">
        <f t="shared" si="22"/>
        <v>46175</v>
      </c>
      <c r="E324" s="9" t="s">
        <v>31</v>
      </c>
      <c r="F324">
        <f t="shared" si="23"/>
        <v>0</v>
      </c>
      <c r="G324">
        <f t="shared" si="24"/>
        <v>20</v>
      </c>
      <c r="AJ324" s="40">
        <v>46175</v>
      </c>
      <c r="AK324" s="9" t="s">
        <v>204</v>
      </c>
      <c r="AL324" s="9" t="s">
        <v>31</v>
      </c>
      <c r="AM324" s="9"/>
      <c r="AN324" s="9">
        <v>115</v>
      </c>
      <c r="AO324" s="9">
        <v>106</v>
      </c>
      <c r="AP324" s="9">
        <v>103</v>
      </c>
      <c r="AQ324" s="9">
        <v>99</v>
      </c>
      <c r="AR324" s="9">
        <v>99</v>
      </c>
      <c r="AS324" s="9">
        <v>68</v>
      </c>
      <c r="AT324" s="9">
        <v>116</v>
      </c>
      <c r="AU324" s="9">
        <v>136</v>
      </c>
      <c r="AV324" s="9">
        <v>120</v>
      </c>
      <c r="AW324" s="9">
        <v>139</v>
      </c>
      <c r="AX324" s="9">
        <v>160</v>
      </c>
      <c r="AY324" s="9">
        <v>144</v>
      </c>
      <c r="AZ324" s="9">
        <v>148</v>
      </c>
    </row>
    <row r="325" spans="2:52">
      <c r="B325" t="str">
        <f t="shared" ref="B325:B388" si="25">TEXT(C325,"MMM")</f>
        <v>Jun</v>
      </c>
      <c r="C325" s="43">
        <f t="shared" ref="C325:C388" si="26">AJ325+(8-WEEKDAY(AJ325))</f>
        <v>46180</v>
      </c>
      <c r="D325" s="44">
        <f t="shared" ref="D325:D388" si="27">AJ325</f>
        <v>46175</v>
      </c>
      <c r="E325" s="9" t="s">
        <v>39</v>
      </c>
      <c r="F325">
        <f t="shared" ref="F325:F388" si="28">IF(SUM(V325:AI325)&lt;=0,0,SUM(V325:AI325))</f>
        <v>0</v>
      </c>
      <c r="G325">
        <f t="shared" si="24"/>
        <v>-63</v>
      </c>
      <c r="AJ325" s="40">
        <v>46175</v>
      </c>
      <c r="AK325" s="9" t="s">
        <v>205</v>
      </c>
      <c r="AL325" s="9" t="s">
        <v>39</v>
      </c>
      <c r="AM325" s="9"/>
      <c r="AN325" s="9">
        <v>114</v>
      </c>
      <c r="AO325" s="9">
        <v>110</v>
      </c>
      <c r="AP325" s="9">
        <v>118</v>
      </c>
      <c r="AQ325" s="9">
        <v>125</v>
      </c>
      <c r="AR325" s="9">
        <v>127</v>
      </c>
      <c r="AS325" s="9">
        <v>117</v>
      </c>
      <c r="AT325" s="9">
        <v>133</v>
      </c>
      <c r="AU325" s="9">
        <v>120</v>
      </c>
      <c r="AV325" s="9">
        <v>143</v>
      </c>
      <c r="AW325" s="9">
        <v>103</v>
      </c>
      <c r="AX325" s="9">
        <v>0</v>
      </c>
      <c r="AY325" s="9">
        <v>4</v>
      </c>
      <c r="AZ325" s="9">
        <v>14</v>
      </c>
    </row>
    <row r="326" spans="2:52">
      <c r="B326" t="str">
        <f t="shared" si="25"/>
        <v>Jun</v>
      </c>
      <c r="C326" s="43">
        <f t="shared" si="26"/>
        <v>46180</v>
      </c>
      <c r="D326" s="44">
        <f t="shared" si="27"/>
        <v>46175</v>
      </c>
      <c r="E326" s="9" t="s">
        <v>40</v>
      </c>
      <c r="F326">
        <f t="shared" si="28"/>
        <v>0</v>
      </c>
      <c r="G326">
        <f t="shared" si="24"/>
        <v>32</v>
      </c>
      <c r="AJ326" s="40">
        <v>46175</v>
      </c>
      <c r="AK326" s="9" t="s">
        <v>205</v>
      </c>
      <c r="AL326" s="9" t="s">
        <v>40</v>
      </c>
      <c r="AM326" s="9"/>
      <c r="AN326" s="9">
        <v>29</v>
      </c>
      <c r="AO326" s="9">
        <v>38</v>
      </c>
      <c r="AP326" s="9">
        <v>29</v>
      </c>
      <c r="AQ326" s="9">
        <v>0</v>
      </c>
      <c r="AR326" s="9">
        <v>34</v>
      </c>
      <c r="AS326" s="9">
        <v>34</v>
      </c>
      <c r="AT326" s="9">
        <v>46</v>
      </c>
      <c r="AU326" s="9">
        <v>44</v>
      </c>
      <c r="AV326" s="9">
        <v>38</v>
      </c>
      <c r="AW326" s="9">
        <v>41</v>
      </c>
      <c r="AX326" s="9">
        <v>45</v>
      </c>
      <c r="AY326" s="9">
        <v>53</v>
      </c>
      <c r="AZ326" s="9">
        <v>32</v>
      </c>
    </row>
    <row r="327" spans="2:52">
      <c r="B327" t="str">
        <f t="shared" si="25"/>
        <v>Jun</v>
      </c>
      <c r="C327" s="43">
        <f t="shared" si="26"/>
        <v>46180</v>
      </c>
      <c r="D327" s="44">
        <f t="shared" si="27"/>
        <v>46175</v>
      </c>
      <c r="E327" s="9" t="s">
        <v>41</v>
      </c>
      <c r="F327">
        <f t="shared" si="28"/>
        <v>0</v>
      </c>
      <c r="G327">
        <f t="shared" si="24"/>
        <v>21</v>
      </c>
      <c r="AJ327" s="40">
        <v>46175</v>
      </c>
      <c r="AK327" s="9" t="s">
        <v>41</v>
      </c>
      <c r="AL327" s="9" t="s">
        <v>41</v>
      </c>
      <c r="AM327" s="9"/>
      <c r="AN327" s="9">
        <v>31</v>
      </c>
      <c r="AO327" s="9">
        <v>31</v>
      </c>
      <c r="AP327" s="9">
        <v>35</v>
      </c>
      <c r="AQ327" s="9">
        <v>0</v>
      </c>
      <c r="AR327" s="9">
        <v>8</v>
      </c>
      <c r="AS327" s="9">
        <v>7</v>
      </c>
      <c r="AT327" s="9">
        <v>0</v>
      </c>
      <c r="AU327" s="9">
        <v>16</v>
      </c>
      <c r="AV327" s="9">
        <v>21</v>
      </c>
      <c r="AW327" s="9">
        <v>23</v>
      </c>
      <c r="AX327" s="9">
        <v>20</v>
      </c>
      <c r="AY327" s="9">
        <v>21</v>
      </c>
      <c r="AZ327" s="9">
        <v>21</v>
      </c>
    </row>
    <row r="328" spans="2:52">
      <c r="B328" t="str">
        <f t="shared" si="25"/>
        <v>Jun</v>
      </c>
      <c r="C328" s="43">
        <f t="shared" si="26"/>
        <v>46180</v>
      </c>
      <c r="D328" s="44">
        <f t="shared" si="27"/>
        <v>46175</v>
      </c>
      <c r="E328" s="9" t="s">
        <v>45</v>
      </c>
      <c r="F328">
        <f t="shared" si="28"/>
        <v>0</v>
      </c>
      <c r="G328">
        <f t="shared" si="24"/>
        <v>97</v>
      </c>
      <c r="AJ328" s="40">
        <v>46175</v>
      </c>
      <c r="AK328" s="9" t="s">
        <v>202</v>
      </c>
      <c r="AL328" s="9" t="s">
        <v>45</v>
      </c>
      <c r="AM328" s="9"/>
      <c r="AN328" s="9">
        <v>64</v>
      </c>
      <c r="AO328" s="9">
        <v>64</v>
      </c>
      <c r="AP328" s="9">
        <v>0</v>
      </c>
      <c r="AQ328" s="9">
        <v>0</v>
      </c>
      <c r="AR328" s="9">
        <v>0</v>
      </c>
      <c r="AS328" s="9">
        <v>8</v>
      </c>
      <c r="AT328" s="9">
        <v>4</v>
      </c>
      <c r="AU328" s="9">
        <v>4</v>
      </c>
      <c r="AV328" s="9">
        <v>8</v>
      </c>
      <c r="AW328" s="9">
        <v>0</v>
      </c>
      <c r="AX328" s="9">
        <v>0</v>
      </c>
      <c r="AY328" s="9">
        <v>0</v>
      </c>
      <c r="AZ328" s="9">
        <v>105</v>
      </c>
    </row>
    <row r="329" spans="2:52">
      <c r="B329" t="str">
        <f t="shared" si="25"/>
        <v>Jun</v>
      </c>
      <c r="C329" s="43">
        <f t="shared" si="26"/>
        <v>46180</v>
      </c>
      <c r="D329" s="44">
        <f t="shared" si="27"/>
        <v>46175</v>
      </c>
      <c r="E329" s="9" t="s">
        <v>46</v>
      </c>
      <c r="F329">
        <f t="shared" si="28"/>
        <v>0</v>
      </c>
      <c r="G329">
        <f t="shared" si="24"/>
        <v>14</v>
      </c>
      <c r="AJ329" s="40">
        <v>46175</v>
      </c>
      <c r="AK329" s="9" t="s">
        <v>202</v>
      </c>
      <c r="AL329" s="9" t="s">
        <v>46</v>
      </c>
      <c r="AM329" s="9"/>
      <c r="AN329" s="9">
        <v>8</v>
      </c>
      <c r="AO329" s="9">
        <v>4</v>
      </c>
      <c r="AP329" s="9">
        <v>35</v>
      </c>
      <c r="AQ329" s="9">
        <v>36</v>
      </c>
      <c r="AR329" s="9">
        <v>36</v>
      </c>
      <c r="AS329" s="9">
        <v>41</v>
      </c>
      <c r="AT329" s="9">
        <v>60</v>
      </c>
      <c r="AU329" s="9">
        <v>63</v>
      </c>
      <c r="AV329" s="9">
        <v>60</v>
      </c>
      <c r="AW329" s="9">
        <v>0</v>
      </c>
      <c r="AX329" s="9">
        <v>15</v>
      </c>
      <c r="AY329" s="9">
        <v>15</v>
      </c>
      <c r="AZ329" s="9">
        <v>17</v>
      </c>
    </row>
    <row r="330" spans="2:52">
      <c r="B330" t="str">
        <f t="shared" si="25"/>
        <v>Jun</v>
      </c>
      <c r="C330" s="43">
        <f t="shared" si="26"/>
        <v>46180</v>
      </c>
      <c r="D330" s="44">
        <f t="shared" si="27"/>
        <v>46175</v>
      </c>
      <c r="E330" s="9" t="s">
        <v>47</v>
      </c>
      <c r="F330">
        <f t="shared" si="28"/>
        <v>0</v>
      </c>
      <c r="G330">
        <f t="shared" si="24"/>
        <v>28</v>
      </c>
      <c r="AJ330" s="40">
        <v>46175</v>
      </c>
      <c r="AK330" s="9" t="s">
        <v>202</v>
      </c>
      <c r="AL330" s="9" t="s">
        <v>47</v>
      </c>
      <c r="AM330" s="9"/>
      <c r="AN330" s="9">
        <v>6</v>
      </c>
      <c r="AO330" s="9">
        <v>2</v>
      </c>
      <c r="AP330" s="9">
        <v>0</v>
      </c>
      <c r="AQ330" s="9">
        <v>14</v>
      </c>
      <c r="AR330" s="9">
        <v>45</v>
      </c>
      <c r="AS330" s="9">
        <v>42</v>
      </c>
      <c r="AT330" s="9">
        <v>47</v>
      </c>
      <c r="AU330" s="9">
        <v>49</v>
      </c>
      <c r="AV330" s="9">
        <v>0</v>
      </c>
      <c r="AW330" s="9">
        <v>0</v>
      </c>
      <c r="AX330" s="9">
        <v>3</v>
      </c>
      <c r="AY330" s="9">
        <v>45</v>
      </c>
      <c r="AZ330" s="9">
        <v>44</v>
      </c>
    </row>
    <row r="331" spans="2:52">
      <c r="B331" t="str">
        <f t="shared" si="25"/>
        <v>Jun</v>
      </c>
      <c r="C331" s="43">
        <f t="shared" si="26"/>
        <v>46180</v>
      </c>
      <c r="D331" s="44">
        <f t="shared" si="27"/>
        <v>46175</v>
      </c>
      <c r="E331" s="9" t="s">
        <v>206</v>
      </c>
      <c r="F331">
        <f t="shared" si="28"/>
        <v>0</v>
      </c>
      <c r="G331">
        <f t="shared" si="24"/>
        <v>156</v>
      </c>
      <c r="AJ331" s="40">
        <v>46175</v>
      </c>
      <c r="AK331" s="9" t="s">
        <v>43</v>
      </c>
      <c r="AL331" s="9" t="s">
        <v>206</v>
      </c>
      <c r="AM331" s="9"/>
      <c r="AN331" s="9">
        <v>52</v>
      </c>
      <c r="AO331" s="9">
        <v>60</v>
      </c>
      <c r="AP331" s="9">
        <v>66</v>
      </c>
      <c r="AQ331" s="9">
        <v>72</v>
      </c>
      <c r="AR331" s="9">
        <v>130</v>
      </c>
      <c r="AS331" s="9">
        <v>141</v>
      </c>
      <c r="AT331" s="9">
        <v>149</v>
      </c>
      <c r="AU331" s="9">
        <v>151</v>
      </c>
      <c r="AV331" s="9">
        <v>0</v>
      </c>
      <c r="AW331" s="9">
        <v>14</v>
      </c>
      <c r="AX331" s="9">
        <v>7</v>
      </c>
      <c r="AY331" s="9">
        <v>17</v>
      </c>
      <c r="AZ331" s="9">
        <v>156</v>
      </c>
    </row>
    <row r="332" spans="2:52">
      <c r="B332" t="str">
        <f t="shared" si="25"/>
        <v>Jun</v>
      </c>
      <c r="C332" s="43">
        <f t="shared" si="26"/>
        <v>46180</v>
      </c>
      <c r="D332" s="44">
        <f t="shared" si="27"/>
        <v>46175</v>
      </c>
      <c r="E332" s="9" t="s">
        <v>207</v>
      </c>
      <c r="F332">
        <f t="shared" si="28"/>
        <v>0</v>
      </c>
      <c r="G332">
        <f t="shared" si="24"/>
        <v>4</v>
      </c>
      <c r="AJ332" s="40">
        <v>46175</v>
      </c>
      <c r="AK332" s="9" t="s">
        <v>203</v>
      </c>
      <c r="AL332" s="9" t="s">
        <v>207</v>
      </c>
      <c r="AM332" s="9"/>
      <c r="AN332" s="9">
        <v>68</v>
      </c>
      <c r="AO332" s="9">
        <v>61</v>
      </c>
      <c r="AP332" s="9">
        <v>69</v>
      </c>
      <c r="AQ332" s="9">
        <v>74</v>
      </c>
      <c r="AR332" s="9">
        <v>81</v>
      </c>
      <c r="AS332" s="9">
        <v>113</v>
      </c>
      <c r="AT332" s="9">
        <v>0</v>
      </c>
      <c r="AU332" s="9">
        <v>23</v>
      </c>
      <c r="AV332" s="9">
        <v>31</v>
      </c>
      <c r="AW332" s="9">
        <v>26</v>
      </c>
      <c r="AX332" s="9">
        <v>35</v>
      </c>
      <c r="AY332" s="9">
        <v>32</v>
      </c>
      <c r="AZ332" s="9">
        <v>35</v>
      </c>
    </row>
    <row r="333" spans="2:52">
      <c r="B333" t="str">
        <f t="shared" si="25"/>
        <v>Jun</v>
      </c>
      <c r="C333" s="43">
        <f t="shared" si="26"/>
        <v>46180</v>
      </c>
      <c r="D333" s="44">
        <f t="shared" si="27"/>
        <v>46175</v>
      </c>
      <c r="E333" s="9" t="s">
        <v>42</v>
      </c>
      <c r="F333">
        <f t="shared" si="28"/>
        <v>0</v>
      </c>
      <c r="G333">
        <f t="shared" si="24"/>
        <v>13</v>
      </c>
      <c r="AJ333" s="40">
        <v>46175</v>
      </c>
      <c r="AK333" s="9" t="s">
        <v>42</v>
      </c>
      <c r="AL333" s="9" t="s">
        <v>42</v>
      </c>
      <c r="AM333" s="9"/>
      <c r="AN333" s="9">
        <v>37</v>
      </c>
      <c r="AO333" s="9">
        <v>44</v>
      </c>
      <c r="AP333" s="9">
        <v>83</v>
      </c>
      <c r="AQ333" s="9">
        <v>85</v>
      </c>
      <c r="AR333" s="9">
        <v>51</v>
      </c>
      <c r="AS333" s="9">
        <v>0</v>
      </c>
      <c r="AT333" s="9">
        <v>2</v>
      </c>
      <c r="AU333" s="9">
        <v>0</v>
      </c>
      <c r="AV333" s="9">
        <v>0</v>
      </c>
      <c r="AW333" s="9">
        <v>7</v>
      </c>
      <c r="AX333" s="9">
        <v>5</v>
      </c>
      <c r="AY333" s="9">
        <v>0</v>
      </c>
      <c r="AZ333" s="9">
        <v>54</v>
      </c>
    </row>
    <row r="334" spans="2:52">
      <c r="B334" t="str">
        <f t="shared" si="25"/>
        <v>Jun</v>
      </c>
      <c r="C334" s="43">
        <f t="shared" si="26"/>
        <v>46180</v>
      </c>
      <c r="D334" s="44">
        <f t="shared" si="27"/>
        <v>46176</v>
      </c>
      <c r="E334" s="9" t="s">
        <v>31</v>
      </c>
      <c r="F334">
        <f t="shared" si="28"/>
        <v>0</v>
      </c>
      <c r="G334">
        <f t="shared" si="24"/>
        <v>29</v>
      </c>
      <c r="AJ334" s="40">
        <v>46176</v>
      </c>
      <c r="AK334" s="9" t="s">
        <v>204</v>
      </c>
      <c r="AL334" s="9" t="s">
        <v>31</v>
      </c>
      <c r="AM334" s="9"/>
      <c r="AN334" s="9">
        <v>112</v>
      </c>
      <c r="AO334" s="9">
        <v>133</v>
      </c>
      <c r="AP334" s="9">
        <v>125</v>
      </c>
      <c r="AQ334" s="9">
        <v>183</v>
      </c>
      <c r="AR334" s="9">
        <v>220</v>
      </c>
      <c r="AS334" s="9">
        <v>204</v>
      </c>
      <c r="AT334" s="9">
        <v>212</v>
      </c>
      <c r="AU334" s="9">
        <v>216</v>
      </c>
      <c r="AV334" s="9">
        <v>210</v>
      </c>
      <c r="AW334" s="9">
        <v>237</v>
      </c>
      <c r="AX334" s="9">
        <v>198</v>
      </c>
      <c r="AY334" s="9">
        <v>193</v>
      </c>
      <c r="AZ334" s="9">
        <v>177</v>
      </c>
    </row>
    <row r="335" spans="2:52">
      <c r="B335" t="str">
        <f t="shared" si="25"/>
        <v>Jun</v>
      </c>
      <c r="C335" s="43">
        <f t="shared" si="26"/>
        <v>46180</v>
      </c>
      <c r="D335" s="44">
        <f t="shared" si="27"/>
        <v>46176</v>
      </c>
      <c r="E335" s="9" t="s">
        <v>39</v>
      </c>
      <c r="F335">
        <f t="shared" si="28"/>
        <v>0</v>
      </c>
      <c r="G335">
        <f t="shared" ref="G335:G398" si="29">SUM(H335:U335)+AZ335-AZ325</f>
        <v>123</v>
      </c>
      <c r="AJ335" s="40">
        <v>46176</v>
      </c>
      <c r="AK335" s="9" t="s">
        <v>205</v>
      </c>
      <c r="AL335" s="9" t="s">
        <v>39</v>
      </c>
      <c r="AM335" s="9"/>
      <c r="AN335" s="9">
        <v>75</v>
      </c>
      <c r="AO335" s="9">
        <v>78</v>
      </c>
      <c r="AP335" s="9">
        <v>56</v>
      </c>
      <c r="AQ335" s="9">
        <v>45</v>
      </c>
      <c r="AR335" s="9">
        <v>53</v>
      </c>
      <c r="AS335" s="9">
        <v>64</v>
      </c>
      <c r="AT335" s="9">
        <v>98</v>
      </c>
      <c r="AU335" s="9">
        <v>102</v>
      </c>
      <c r="AV335" s="9">
        <v>100</v>
      </c>
      <c r="AW335" s="9">
        <v>115</v>
      </c>
      <c r="AX335" s="9">
        <v>116</v>
      </c>
      <c r="AY335" s="9">
        <v>133</v>
      </c>
      <c r="AZ335" s="9">
        <v>137</v>
      </c>
    </row>
    <row r="336" spans="2:52">
      <c r="B336" t="str">
        <f t="shared" si="25"/>
        <v>Jun</v>
      </c>
      <c r="C336" s="43">
        <f t="shared" si="26"/>
        <v>46180</v>
      </c>
      <c r="D336" s="44">
        <f t="shared" si="27"/>
        <v>46176</v>
      </c>
      <c r="E336" s="9" t="s">
        <v>40</v>
      </c>
      <c r="F336">
        <f t="shared" si="28"/>
        <v>0</v>
      </c>
      <c r="G336">
        <f t="shared" si="29"/>
        <v>-22</v>
      </c>
      <c r="AJ336" s="40">
        <v>46176</v>
      </c>
      <c r="AK336" s="9" t="s">
        <v>205</v>
      </c>
      <c r="AL336" s="9" t="s">
        <v>40</v>
      </c>
      <c r="AM336" s="9"/>
      <c r="AN336" s="9">
        <v>76</v>
      </c>
      <c r="AO336" s="9">
        <v>0</v>
      </c>
      <c r="AP336" s="9">
        <v>3</v>
      </c>
      <c r="AQ336" s="9">
        <v>0</v>
      </c>
      <c r="AR336" s="9">
        <v>120</v>
      </c>
      <c r="AS336" s="9">
        <v>132</v>
      </c>
      <c r="AT336" s="9">
        <v>133</v>
      </c>
      <c r="AU336" s="9">
        <v>240</v>
      </c>
      <c r="AV336" s="9">
        <v>240</v>
      </c>
      <c r="AW336" s="9">
        <v>240</v>
      </c>
      <c r="AX336" s="9">
        <v>230</v>
      </c>
      <c r="AY336" s="9">
        <v>0</v>
      </c>
      <c r="AZ336" s="9">
        <v>10</v>
      </c>
    </row>
    <row r="337" spans="2:52">
      <c r="B337" t="str">
        <f t="shared" si="25"/>
        <v>Jun</v>
      </c>
      <c r="C337" s="43">
        <f t="shared" si="26"/>
        <v>46180</v>
      </c>
      <c r="D337" s="44">
        <f t="shared" si="27"/>
        <v>46176</v>
      </c>
      <c r="E337" s="9" t="s">
        <v>41</v>
      </c>
      <c r="F337">
        <f t="shared" si="28"/>
        <v>0</v>
      </c>
      <c r="G337">
        <f t="shared" si="29"/>
        <v>-11</v>
      </c>
      <c r="AJ337" s="40">
        <v>46176</v>
      </c>
      <c r="AK337" s="9" t="s">
        <v>41</v>
      </c>
      <c r="AL337" s="9" t="s">
        <v>41</v>
      </c>
      <c r="AM337" s="9"/>
      <c r="AN337" s="9">
        <v>27</v>
      </c>
      <c r="AO337" s="9">
        <v>24</v>
      </c>
      <c r="AP337" s="9">
        <v>0</v>
      </c>
      <c r="AQ337" s="9">
        <v>0</v>
      </c>
      <c r="AR337" s="9">
        <v>9</v>
      </c>
      <c r="AS337" s="9">
        <v>11</v>
      </c>
      <c r="AT337" s="9">
        <v>10</v>
      </c>
      <c r="AU337" s="9">
        <v>12</v>
      </c>
      <c r="AV337" s="9">
        <v>14</v>
      </c>
      <c r="AW337" s="9">
        <v>19</v>
      </c>
      <c r="AX337" s="9">
        <v>0</v>
      </c>
      <c r="AY337" s="9">
        <v>13</v>
      </c>
      <c r="AZ337" s="9">
        <v>10</v>
      </c>
    </row>
    <row r="338" spans="2:52">
      <c r="B338" t="str">
        <f t="shared" si="25"/>
        <v>Jun</v>
      </c>
      <c r="C338" s="43">
        <f t="shared" si="26"/>
        <v>46180</v>
      </c>
      <c r="D338" s="44">
        <f t="shared" si="27"/>
        <v>46176</v>
      </c>
      <c r="E338" s="9" t="s">
        <v>45</v>
      </c>
      <c r="F338">
        <f t="shared" si="28"/>
        <v>0</v>
      </c>
      <c r="G338">
        <f t="shared" si="29"/>
        <v>-94</v>
      </c>
      <c r="AJ338" s="40">
        <v>46176</v>
      </c>
      <c r="AK338" s="9" t="s">
        <v>202</v>
      </c>
      <c r="AL338" s="9" t="s">
        <v>45</v>
      </c>
      <c r="AM338" s="9"/>
      <c r="AN338" s="9">
        <v>9</v>
      </c>
      <c r="AO338" s="9">
        <v>16</v>
      </c>
      <c r="AP338" s="9">
        <v>61</v>
      </c>
      <c r="AQ338" s="9">
        <v>115</v>
      </c>
      <c r="AR338" s="9">
        <v>111</v>
      </c>
      <c r="AS338" s="9">
        <v>160</v>
      </c>
      <c r="AT338" s="9">
        <v>163</v>
      </c>
      <c r="AU338" s="9">
        <v>163</v>
      </c>
      <c r="AV338" s="9">
        <v>159</v>
      </c>
      <c r="AW338" s="9">
        <v>165</v>
      </c>
      <c r="AX338" s="9">
        <v>163</v>
      </c>
      <c r="AY338" s="9">
        <v>0</v>
      </c>
      <c r="AZ338" s="9">
        <v>11</v>
      </c>
    </row>
    <row r="339" spans="2:52">
      <c r="B339" t="str">
        <f t="shared" si="25"/>
        <v>Jun</v>
      </c>
      <c r="C339" s="43">
        <f t="shared" si="26"/>
        <v>46180</v>
      </c>
      <c r="D339" s="44">
        <f t="shared" si="27"/>
        <v>46176</v>
      </c>
      <c r="E339" s="9" t="s">
        <v>46</v>
      </c>
      <c r="F339">
        <f t="shared" si="28"/>
        <v>0</v>
      </c>
      <c r="G339">
        <f t="shared" si="29"/>
        <v>-3</v>
      </c>
      <c r="AJ339" s="40">
        <v>46176</v>
      </c>
      <c r="AK339" s="9" t="s">
        <v>202</v>
      </c>
      <c r="AL339" s="9" t="s">
        <v>46</v>
      </c>
      <c r="AM339" s="9"/>
      <c r="AN339" s="9">
        <v>0</v>
      </c>
      <c r="AO339" s="9">
        <v>16</v>
      </c>
      <c r="AP339" s="9">
        <v>14</v>
      </c>
      <c r="AQ339" s="9">
        <v>0</v>
      </c>
      <c r="AR339" s="9">
        <v>10</v>
      </c>
      <c r="AS339" s="9">
        <v>8</v>
      </c>
      <c r="AT339" s="9">
        <v>12</v>
      </c>
      <c r="AU339" s="9">
        <v>9</v>
      </c>
      <c r="AV339" s="9">
        <v>11</v>
      </c>
      <c r="AW339" s="9">
        <v>10</v>
      </c>
      <c r="AX339" s="9">
        <v>12</v>
      </c>
      <c r="AY339" s="9">
        <v>13</v>
      </c>
      <c r="AZ339" s="9">
        <v>14</v>
      </c>
    </row>
    <row r="340" spans="2:52">
      <c r="B340" t="str">
        <f t="shared" si="25"/>
        <v>Jun</v>
      </c>
      <c r="C340" s="43">
        <f t="shared" si="26"/>
        <v>46180</v>
      </c>
      <c r="D340" s="44">
        <f t="shared" si="27"/>
        <v>46176</v>
      </c>
      <c r="E340" s="9" t="s">
        <v>47</v>
      </c>
      <c r="F340">
        <f t="shared" si="28"/>
        <v>0</v>
      </c>
      <c r="G340">
        <f t="shared" si="29"/>
        <v>-44</v>
      </c>
      <c r="AJ340" s="40">
        <v>46176</v>
      </c>
      <c r="AK340" s="9" t="s">
        <v>202</v>
      </c>
      <c r="AL340" s="9" t="s">
        <v>47</v>
      </c>
      <c r="AM340" s="9"/>
      <c r="AN340" s="9">
        <v>0</v>
      </c>
      <c r="AO340" s="9">
        <v>1</v>
      </c>
      <c r="AP340" s="9">
        <v>5</v>
      </c>
      <c r="AQ340" s="9">
        <v>0</v>
      </c>
      <c r="AR340" s="9">
        <v>0</v>
      </c>
      <c r="AS340" s="9">
        <v>0</v>
      </c>
      <c r="AT340" s="9">
        <v>0</v>
      </c>
      <c r="AU340" s="9">
        <v>13</v>
      </c>
      <c r="AV340" s="9">
        <v>0</v>
      </c>
      <c r="AW340" s="9">
        <v>0</v>
      </c>
      <c r="AX340" s="9">
        <v>8</v>
      </c>
      <c r="AY340" s="9">
        <v>0</v>
      </c>
      <c r="AZ340" s="9">
        <v>0</v>
      </c>
    </row>
    <row r="341" spans="2:52">
      <c r="B341" t="str">
        <f t="shared" si="25"/>
        <v>Jun</v>
      </c>
      <c r="C341" s="43">
        <f t="shared" si="26"/>
        <v>46180</v>
      </c>
      <c r="D341" s="44">
        <f t="shared" si="27"/>
        <v>46176</v>
      </c>
      <c r="E341" s="9" t="s">
        <v>206</v>
      </c>
      <c r="F341">
        <f t="shared" si="28"/>
        <v>0</v>
      </c>
      <c r="G341">
        <f t="shared" si="29"/>
        <v>-43</v>
      </c>
      <c r="AJ341" s="40">
        <v>46176</v>
      </c>
      <c r="AK341" s="9" t="s">
        <v>43</v>
      </c>
      <c r="AL341" s="9" t="s">
        <v>206</v>
      </c>
      <c r="AM341" s="9"/>
      <c r="AN341" s="9">
        <v>28</v>
      </c>
      <c r="AO341" s="9">
        <v>21</v>
      </c>
      <c r="AP341" s="9">
        <v>20</v>
      </c>
      <c r="AQ341" s="9">
        <v>23</v>
      </c>
      <c r="AR341" s="9">
        <v>110</v>
      </c>
      <c r="AS341" s="9">
        <v>0</v>
      </c>
      <c r="AT341" s="9">
        <v>0</v>
      </c>
      <c r="AU341" s="9">
        <v>32</v>
      </c>
      <c r="AV341" s="9">
        <v>39</v>
      </c>
      <c r="AW341" s="9">
        <v>33</v>
      </c>
      <c r="AX341" s="9">
        <v>116</v>
      </c>
      <c r="AY341" s="9">
        <v>120</v>
      </c>
      <c r="AZ341" s="9">
        <v>113</v>
      </c>
    </row>
    <row r="342" spans="2:52">
      <c r="B342" t="str">
        <f t="shared" si="25"/>
        <v>Jun</v>
      </c>
      <c r="C342" s="43">
        <f t="shared" si="26"/>
        <v>46180</v>
      </c>
      <c r="D342" s="44">
        <f t="shared" si="27"/>
        <v>46176</v>
      </c>
      <c r="E342" s="9" t="s">
        <v>207</v>
      </c>
      <c r="F342">
        <f t="shared" si="28"/>
        <v>0</v>
      </c>
      <c r="G342">
        <f t="shared" si="29"/>
        <v>108</v>
      </c>
      <c r="AJ342" s="40">
        <v>46176</v>
      </c>
      <c r="AK342" s="9" t="s">
        <v>203</v>
      </c>
      <c r="AL342" s="9" t="s">
        <v>207</v>
      </c>
      <c r="AM342" s="9"/>
      <c r="AN342" s="9">
        <v>58</v>
      </c>
      <c r="AO342" s="9">
        <v>53</v>
      </c>
      <c r="AP342" s="9">
        <v>53</v>
      </c>
      <c r="AQ342" s="9">
        <v>47</v>
      </c>
      <c r="AR342" s="9">
        <v>97</v>
      </c>
      <c r="AS342" s="9">
        <v>67</v>
      </c>
      <c r="AT342" s="9">
        <v>61</v>
      </c>
      <c r="AU342" s="9">
        <v>123</v>
      </c>
      <c r="AV342" s="9">
        <v>128</v>
      </c>
      <c r="AW342" s="9">
        <v>126</v>
      </c>
      <c r="AX342" s="9">
        <v>111</v>
      </c>
      <c r="AY342" s="9">
        <v>109</v>
      </c>
      <c r="AZ342" s="9">
        <v>143</v>
      </c>
    </row>
    <row r="343" spans="2:52">
      <c r="B343" t="str">
        <f t="shared" si="25"/>
        <v>Jun</v>
      </c>
      <c r="C343" s="43">
        <f t="shared" si="26"/>
        <v>46180</v>
      </c>
      <c r="D343" s="44">
        <f t="shared" si="27"/>
        <v>46176</v>
      </c>
      <c r="E343" s="9" t="s">
        <v>42</v>
      </c>
      <c r="F343">
        <f t="shared" si="28"/>
        <v>0</v>
      </c>
      <c r="G343">
        <f t="shared" si="29"/>
        <v>-26</v>
      </c>
      <c r="AJ343" s="40">
        <v>46176</v>
      </c>
      <c r="AK343" s="9" t="s">
        <v>42</v>
      </c>
      <c r="AL343" s="9" t="s">
        <v>42</v>
      </c>
      <c r="AM343" s="9"/>
      <c r="AN343" s="9">
        <v>17</v>
      </c>
      <c r="AO343" s="9">
        <v>24</v>
      </c>
      <c r="AP343" s="9">
        <v>25</v>
      </c>
      <c r="AQ343" s="9">
        <v>19</v>
      </c>
      <c r="AR343" s="9">
        <v>0</v>
      </c>
      <c r="AS343" s="9">
        <v>12</v>
      </c>
      <c r="AT343" s="9">
        <v>6</v>
      </c>
      <c r="AU343" s="9">
        <v>10</v>
      </c>
      <c r="AV343" s="9">
        <v>6</v>
      </c>
      <c r="AW343" s="9">
        <v>0</v>
      </c>
      <c r="AX343" s="9">
        <v>22</v>
      </c>
      <c r="AY343" s="9">
        <v>21</v>
      </c>
      <c r="AZ343" s="9">
        <v>28</v>
      </c>
    </row>
    <row r="344" spans="2:52">
      <c r="B344" t="str">
        <f t="shared" si="25"/>
        <v>Jun</v>
      </c>
      <c r="C344" s="43">
        <f t="shared" si="26"/>
        <v>46180</v>
      </c>
      <c r="D344" s="44">
        <f t="shared" si="27"/>
        <v>46177</v>
      </c>
      <c r="E344" s="9" t="s">
        <v>31</v>
      </c>
      <c r="F344">
        <f t="shared" si="28"/>
        <v>0</v>
      </c>
      <c r="G344">
        <f t="shared" si="29"/>
        <v>-177</v>
      </c>
      <c r="AJ344" s="40">
        <v>46177</v>
      </c>
      <c r="AK344" s="9" t="s">
        <v>204</v>
      </c>
      <c r="AL344" s="9" t="s">
        <v>31</v>
      </c>
      <c r="AM344" s="9"/>
      <c r="AN344" s="9">
        <v>56</v>
      </c>
      <c r="AO344" s="9">
        <v>61</v>
      </c>
      <c r="AP344" s="9">
        <v>34</v>
      </c>
      <c r="AQ344" s="9">
        <v>36</v>
      </c>
      <c r="AR344" s="9">
        <v>61</v>
      </c>
      <c r="AS344" s="9">
        <v>52</v>
      </c>
      <c r="AT344" s="9">
        <v>38</v>
      </c>
      <c r="AU344" s="9">
        <v>46</v>
      </c>
      <c r="AV344" s="9">
        <v>65</v>
      </c>
      <c r="AW344" s="9">
        <v>57</v>
      </c>
      <c r="AX344" s="9">
        <v>73</v>
      </c>
      <c r="AY344" s="9">
        <v>66</v>
      </c>
      <c r="AZ344" s="9">
        <v>0</v>
      </c>
    </row>
    <row r="345" spans="2:52">
      <c r="B345" t="str">
        <f t="shared" si="25"/>
        <v>Jun</v>
      </c>
      <c r="C345" s="43">
        <f t="shared" si="26"/>
        <v>46180</v>
      </c>
      <c r="D345" s="44">
        <f t="shared" si="27"/>
        <v>46177</v>
      </c>
      <c r="E345" s="9" t="s">
        <v>39</v>
      </c>
      <c r="F345">
        <f t="shared" si="28"/>
        <v>0</v>
      </c>
      <c r="G345">
        <f t="shared" si="29"/>
        <v>-19</v>
      </c>
      <c r="AJ345" s="40">
        <v>46177</v>
      </c>
      <c r="AK345" s="9" t="s">
        <v>205</v>
      </c>
      <c r="AL345" s="9" t="s">
        <v>39</v>
      </c>
      <c r="AM345" s="9"/>
      <c r="AN345" s="9">
        <v>32</v>
      </c>
      <c r="AO345" s="9">
        <v>4</v>
      </c>
      <c r="AP345" s="9">
        <v>0</v>
      </c>
      <c r="AQ345" s="9">
        <v>54</v>
      </c>
      <c r="AR345" s="9">
        <v>117</v>
      </c>
      <c r="AS345" s="9">
        <v>131</v>
      </c>
      <c r="AT345" s="9">
        <v>139</v>
      </c>
      <c r="AU345" s="9">
        <v>133</v>
      </c>
      <c r="AV345" s="9">
        <v>138</v>
      </c>
      <c r="AW345" s="9">
        <v>137</v>
      </c>
      <c r="AX345" s="9">
        <v>129</v>
      </c>
      <c r="AY345" s="9">
        <v>115</v>
      </c>
      <c r="AZ345" s="9">
        <v>118</v>
      </c>
    </row>
    <row r="346" spans="2:52">
      <c r="B346" t="str">
        <f t="shared" si="25"/>
        <v>Jun</v>
      </c>
      <c r="C346" s="43">
        <f t="shared" si="26"/>
        <v>46180</v>
      </c>
      <c r="D346" s="44">
        <f t="shared" si="27"/>
        <v>46177</v>
      </c>
      <c r="E346" s="9" t="s">
        <v>40</v>
      </c>
      <c r="F346">
        <f t="shared" si="28"/>
        <v>0</v>
      </c>
      <c r="G346">
        <f t="shared" si="29"/>
        <v>64</v>
      </c>
      <c r="AJ346" s="40">
        <v>46177</v>
      </c>
      <c r="AK346" s="9" t="s">
        <v>205</v>
      </c>
      <c r="AL346" s="9" t="s">
        <v>40</v>
      </c>
      <c r="AM346" s="9"/>
      <c r="AN346" s="9">
        <v>49</v>
      </c>
      <c r="AO346" s="9">
        <v>50</v>
      </c>
      <c r="AP346" s="9">
        <v>57</v>
      </c>
      <c r="AQ346" s="9">
        <v>60</v>
      </c>
      <c r="AR346" s="9">
        <v>59</v>
      </c>
      <c r="AS346" s="9">
        <v>52</v>
      </c>
      <c r="AT346" s="9">
        <v>58</v>
      </c>
      <c r="AU346" s="9">
        <v>94</v>
      </c>
      <c r="AV346" s="9">
        <v>87</v>
      </c>
      <c r="AW346" s="9">
        <v>90</v>
      </c>
      <c r="AX346" s="9">
        <v>71</v>
      </c>
      <c r="AY346" s="9">
        <v>65</v>
      </c>
      <c r="AZ346" s="9">
        <v>74</v>
      </c>
    </row>
    <row r="347" spans="2:52">
      <c r="B347" t="str">
        <f t="shared" si="25"/>
        <v>Jun</v>
      </c>
      <c r="C347" s="43">
        <f t="shared" si="26"/>
        <v>46180</v>
      </c>
      <c r="D347" s="44">
        <f t="shared" si="27"/>
        <v>46177</v>
      </c>
      <c r="E347" s="9" t="s">
        <v>41</v>
      </c>
      <c r="F347">
        <f t="shared" si="28"/>
        <v>0</v>
      </c>
      <c r="G347">
        <f t="shared" si="29"/>
        <v>4</v>
      </c>
      <c r="AJ347" s="40">
        <v>46177</v>
      </c>
      <c r="AK347" s="9" t="s">
        <v>41</v>
      </c>
      <c r="AL347" s="9" t="s">
        <v>41</v>
      </c>
      <c r="AM347" s="9"/>
      <c r="AN347" s="9">
        <v>13</v>
      </c>
      <c r="AO347" s="9">
        <v>13</v>
      </c>
      <c r="AP347" s="9">
        <v>0</v>
      </c>
      <c r="AQ347" s="9">
        <v>6</v>
      </c>
      <c r="AR347" s="9">
        <v>7</v>
      </c>
      <c r="AS347" s="9">
        <v>4</v>
      </c>
      <c r="AT347" s="9">
        <v>8</v>
      </c>
      <c r="AU347" s="9">
        <v>10</v>
      </c>
      <c r="AV347" s="9">
        <v>14</v>
      </c>
      <c r="AW347" s="9">
        <v>16</v>
      </c>
      <c r="AX347" s="9">
        <v>15</v>
      </c>
      <c r="AY347" s="9">
        <v>13</v>
      </c>
      <c r="AZ347" s="9">
        <v>14</v>
      </c>
    </row>
    <row r="348" spans="2:52">
      <c r="B348" t="str">
        <f t="shared" si="25"/>
        <v>Jun</v>
      </c>
      <c r="C348" s="43">
        <f t="shared" si="26"/>
        <v>46180</v>
      </c>
      <c r="D348" s="44">
        <f t="shared" si="27"/>
        <v>46177</v>
      </c>
      <c r="E348" s="9" t="s">
        <v>45</v>
      </c>
      <c r="F348">
        <f t="shared" si="28"/>
        <v>0</v>
      </c>
      <c r="G348">
        <f t="shared" si="29"/>
        <v>-11</v>
      </c>
      <c r="AJ348" s="40">
        <v>46177</v>
      </c>
      <c r="AK348" s="9" t="s">
        <v>202</v>
      </c>
      <c r="AL348" s="9" t="s">
        <v>45</v>
      </c>
      <c r="AM348" s="9"/>
      <c r="AN348" s="9">
        <v>17</v>
      </c>
      <c r="AO348" s="9">
        <v>13</v>
      </c>
      <c r="AP348" s="9">
        <v>8</v>
      </c>
      <c r="AQ348" s="9">
        <v>71</v>
      </c>
      <c r="AR348" s="9">
        <v>65</v>
      </c>
      <c r="AS348" s="9">
        <v>64</v>
      </c>
      <c r="AT348" s="9">
        <v>58</v>
      </c>
      <c r="AU348" s="9">
        <v>54</v>
      </c>
      <c r="AV348" s="9">
        <v>62</v>
      </c>
      <c r="AW348" s="9">
        <v>56</v>
      </c>
      <c r="AX348" s="9">
        <v>0</v>
      </c>
      <c r="AY348" s="9">
        <v>0</v>
      </c>
      <c r="AZ348" s="9">
        <v>0</v>
      </c>
    </row>
    <row r="349" spans="2:52">
      <c r="B349" t="str">
        <f t="shared" si="25"/>
        <v>Jun</v>
      </c>
      <c r="C349" s="43">
        <f t="shared" si="26"/>
        <v>46180</v>
      </c>
      <c r="D349" s="44">
        <f t="shared" si="27"/>
        <v>46177</v>
      </c>
      <c r="E349" s="9" t="s">
        <v>46</v>
      </c>
      <c r="F349">
        <f t="shared" si="28"/>
        <v>0</v>
      </c>
      <c r="G349">
        <f t="shared" si="29"/>
        <v>17</v>
      </c>
      <c r="AJ349" s="40">
        <v>46177</v>
      </c>
      <c r="AK349" s="9" t="s">
        <v>202</v>
      </c>
      <c r="AL349" s="9" t="s">
        <v>46</v>
      </c>
      <c r="AM349" s="9"/>
      <c r="AN349" s="9">
        <v>22</v>
      </c>
      <c r="AO349" s="9">
        <v>27</v>
      </c>
      <c r="AP349" s="9">
        <v>53</v>
      </c>
      <c r="AQ349" s="9">
        <v>54</v>
      </c>
      <c r="AR349" s="9">
        <v>51</v>
      </c>
      <c r="AS349" s="9">
        <v>54</v>
      </c>
      <c r="AT349" s="9">
        <v>53</v>
      </c>
      <c r="AU349" s="9">
        <v>71</v>
      </c>
      <c r="AV349" s="9">
        <v>85</v>
      </c>
      <c r="AW349" s="9">
        <v>82</v>
      </c>
      <c r="AX349" s="9">
        <v>34</v>
      </c>
      <c r="AY349" s="9">
        <v>33</v>
      </c>
      <c r="AZ349" s="9">
        <v>31</v>
      </c>
    </row>
    <row r="350" spans="2:52">
      <c r="B350" t="str">
        <f t="shared" si="25"/>
        <v>Jun</v>
      </c>
      <c r="C350" s="43">
        <f t="shared" si="26"/>
        <v>46180</v>
      </c>
      <c r="D350" s="44">
        <f t="shared" si="27"/>
        <v>46177</v>
      </c>
      <c r="E350" s="9" t="s">
        <v>47</v>
      </c>
      <c r="F350">
        <f t="shared" si="28"/>
        <v>0</v>
      </c>
      <c r="G350">
        <f t="shared" si="29"/>
        <v>21</v>
      </c>
      <c r="AJ350" s="40">
        <v>46177</v>
      </c>
      <c r="AK350" s="9" t="s">
        <v>202</v>
      </c>
      <c r="AL350" s="9" t="s">
        <v>47</v>
      </c>
      <c r="AM350" s="9"/>
      <c r="AN350" s="9">
        <v>14</v>
      </c>
      <c r="AO350" s="9">
        <v>17</v>
      </c>
      <c r="AP350" s="9">
        <v>0</v>
      </c>
      <c r="AQ350" s="9">
        <v>0</v>
      </c>
      <c r="AR350" s="9">
        <v>0</v>
      </c>
      <c r="AS350" s="9">
        <v>7</v>
      </c>
      <c r="AT350" s="9">
        <v>0</v>
      </c>
      <c r="AU350" s="9">
        <v>16</v>
      </c>
      <c r="AV350" s="9">
        <v>18</v>
      </c>
      <c r="AW350" s="9">
        <v>0</v>
      </c>
      <c r="AX350" s="9">
        <v>16</v>
      </c>
      <c r="AY350" s="9">
        <v>19</v>
      </c>
      <c r="AZ350" s="9">
        <v>21</v>
      </c>
    </row>
    <row r="351" spans="2:52">
      <c r="B351" t="str">
        <f t="shared" si="25"/>
        <v>Jun</v>
      </c>
      <c r="C351" s="43">
        <f t="shared" si="26"/>
        <v>46180</v>
      </c>
      <c r="D351" s="44">
        <f t="shared" si="27"/>
        <v>46177</v>
      </c>
      <c r="E351" s="9" t="s">
        <v>206</v>
      </c>
      <c r="F351">
        <f t="shared" si="28"/>
        <v>0</v>
      </c>
      <c r="G351">
        <f t="shared" si="29"/>
        <v>-92</v>
      </c>
      <c r="AJ351" s="40">
        <v>46177</v>
      </c>
      <c r="AK351" s="9" t="s">
        <v>43</v>
      </c>
      <c r="AL351" s="9" t="s">
        <v>206</v>
      </c>
      <c r="AM351" s="9"/>
      <c r="AN351" s="9">
        <v>36</v>
      </c>
      <c r="AO351" s="9">
        <v>38</v>
      </c>
      <c r="AP351" s="9">
        <v>30</v>
      </c>
      <c r="AQ351" s="9">
        <v>25</v>
      </c>
      <c r="AR351" s="9">
        <v>25</v>
      </c>
      <c r="AS351" s="9">
        <v>26</v>
      </c>
      <c r="AT351" s="9">
        <v>18</v>
      </c>
      <c r="AU351" s="9">
        <v>28</v>
      </c>
      <c r="AV351" s="9">
        <v>0</v>
      </c>
      <c r="AW351" s="9">
        <v>12</v>
      </c>
      <c r="AX351" s="9">
        <v>7</v>
      </c>
      <c r="AY351" s="9">
        <v>17</v>
      </c>
      <c r="AZ351" s="9">
        <v>21</v>
      </c>
    </row>
    <row r="352" spans="2:52">
      <c r="B352" t="str">
        <f t="shared" si="25"/>
        <v>Jun</v>
      </c>
      <c r="C352" s="43">
        <f t="shared" si="26"/>
        <v>46180</v>
      </c>
      <c r="D352" s="44">
        <f t="shared" si="27"/>
        <v>46177</v>
      </c>
      <c r="E352" s="9" t="s">
        <v>207</v>
      </c>
      <c r="F352">
        <f t="shared" si="28"/>
        <v>0</v>
      </c>
      <c r="G352">
        <f t="shared" si="29"/>
        <v>-82</v>
      </c>
      <c r="AJ352" s="40">
        <v>46177</v>
      </c>
      <c r="AK352" s="9" t="s">
        <v>203</v>
      </c>
      <c r="AL352" s="9" t="s">
        <v>207</v>
      </c>
      <c r="AM352" s="9"/>
      <c r="AN352" s="9">
        <v>57</v>
      </c>
      <c r="AO352" s="9">
        <v>81</v>
      </c>
      <c r="AP352" s="9">
        <v>84</v>
      </c>
      <c r="AQ352" s="9">
        <v>0</v>
      </c>
      <c r="AR352" s="9">
        <v>0</v>
      </c>
      <c r="AS352" s="9">
        <v>7</v>
      </c>
      <c r="AT352" s="9">
        <v>44</v>
      </c>
      <c r="AU352" s="9">
        <v>67</v>
      </c>
      <c r="AV352" s="9">
        <v>62</v>
      </c>
      <c r="AW352" s="9">
        <v>62</v>
      </c>
      <c r="AX352" s="9">
        <v>59</v>
      </c>
      <c r="AY352" s="9">
        <v>68</v>
      </c>
      <c r="AZ352" s="9">
        <v>61</v>
      </c>
    </row>
    <row r="353" spans="2:52">
      <c r="B353" t="str">
        <f t="shared" si="25"/>
        <v>Jun</v>
      </c>
      <c r="C353" s="43">
        <f t="shared" si="26"/>
        <v>46180</v>
      </c>
      <c r="D353" s="44">
        <f t="shared" si="27"/>
        <v>46177</v>
      </c>
      <c r="E353" s="9" t="s">
        <v>42</v>
      </c>
      <c r="F353">
        <f t="shared" si="28"/>
        <v>0</v>
      </c>
      <c r="G353">
        <f t="shared" si="29"/>
        <v>-26</v>
      </c>
      <c r="AJ353" s="40">
        <v>46177</v>
      </c>
      <c r="AK353" s="9" t="s">
        <v>42</v>
      </c>
      <c r="AL353" s="9" t="s">
        <v>42</v>
      </c>
      <c r="AM353" s="9"/>
      <c r="AN353" s="9">
        <v>6</v>
      </c>
      <c r="AO353" s="9">
        <v>0</v>
      </c>
      <c r="AP353" s="9">
        <v>0</v>
      </c>
      <c r="AQ353" s="9">
        <v>0</v>
      </c>
      <c r="AR353" s="9">
        <v>0</v>
      </c>
      <c r="AS353" s="9">
        <v>0</v>
      </c>
      <c r="AT353" s="9">
        <v>5</v>
      </c>
      <c r="AU353" s="9">
        <v>63</v>
      </c>
      <c r="AV353" s="9">
        <v>63</v>
      </c>
      <c r="AW353" s="9">
        <v>0</v>
      </c>
      <c r="AX353" s="9">
        <v>7</v>
      </c>
      <c r="AY353" s="9">
        <v>1</v>
      </c>
      <c r="AZ353" s="9">
        <v>2</v>
      </c>
    </row>
    <row r="354" spans="2:52">
      <c r="B354" t="str">
        <f t="shared" si="25"/>
        <v>Jun</v>
      </c>
      <c r="C354" s="43">
        <f t="shared" si="26"/>
        <v>46180</v>
      </c>
      <c r="D354" s="44">
        <f t="shared" si="27"/>
        <v>46178</v>
      </c>
      <c r="E354" s="9" t="s">
        <v>31</v>
      </c>
      <c r="F354">
        <f t="shared" si="28"/>
        <v>0</v>
      </c>
      <c r="G354">
        <f t="shared" si="29"/>
        <v>36</v>
      </c>
      <c r="AJ354" s="40">
        <v>46178</v>
      </c>
      <c r="AK354" s="9" t="s">
        <v>204</v>
      </c>
      <c r="AL354" s="9" t="s">
        <v>31</v>
      </c>
      <c r="AM354" s="9"/>
      <c r="AN354" s="9">
        <v>128</v>
      </c>
      <c r="AO354" s="9">
        <v>106</v>
      </c>
      <c r="AP354" s="9">
        <v>0</v>
      </c>
      <c r="AQ354" s="9">
        <v>54</v>
      </c>
      <c r="AR354" s="9">
        <v>52</v>
      </c>
      <c r="AS354" s="9">
        <v>1</v>
      </c>
      <c r="AT354" s="9">
        <v>6</v>
      </c>
      <c r="AU354" s="9">
        <v>11</v>
      </c>
      <c r="AV354" s="9">
        <v>0</v>
      </c>
      <c r="AW354" s="9">
        <v>0</v>
      </c>
      <c r="AX354" s="9">
        <v>21</v>
      </c>
      <c r="AY354" s="9">
        <v>20</v>
      </c>
      <c r="AZ354" s="9">
        <v>36</v>
      </c>
    </row>
    <row r="355" spans="2:52">
      <c r="B355" t="str">
        <f t="shared" si="25"/>
        <v>Jun</v>
      </c>
      <c r="C355" s="43">
        <f t="shared" si="26"/>
        <v>46180</v>
      </c>
      <c r="D355" s="44">
        <f t="shared" si="27"/>
        <v>46178</v>
      </c>
      <c r="E355" s="9" t="s">
        <v>39</v>
      </c>
      <c r="F355">
        <f t="shared" si="28"/>
        <v>0</v>
      </c>
      <c r="G355">
        <f t="shared" si="29"/>
        <v>64</v>
      </c>
      <c r="AJ355" s="40">
        <v>46178</v>
      </c>
      <c r="AK355" s="9" t="s">
        <v>205</v>
      </c>
      <c r="AL355" s="9" t="s">
        <v>39</v>
      </c>
      <c r="AM355" s="9"/>
      <c r="AN355" s="9">
        <v>89</v>
      </c>
      <c r="AO355" s="9">
        <v>89</v>
      </c>
      <c r="AP355" s="9">
        <v>82</v>
      </c>
      <c r="AQ355" s="9">
        <v>107</v>
      </c>
      <c r="AR355" s="9">
        <v>117</v>
      </c>
      <c r="AS355" s="9">
        <v>87</v>
      </c>
      <c r="AT355" s="9">
        <v>80</v>
      </c>
      <c r="AU355" s="9">
        <v>65</v>
      </c>
      <c r="AV355" s="9">
        <v>60</v>
      </c>
      <c r="AW355" s="9">
        <v>65</v>
      </c>
      <c r="AX355" s="9">
        <v>81</v>
      </c>
      <c r="AY355" s="9">
        <v>112</v>
      </c>
      <c r="AZ355" s="9">
        <v>182</v>
      </c>
    </row>
    <row r="356" spans="2:52">
      <c r="B356" t="str">
        <f t="shared" si="25"/>
        <v>Jun</v>
      </c>
      <c r="C356" s="43">
        <f t="shared" si="26"/>
        <v>46180</v>
      </c>
      <c r="D356" s="44">
        <f t="shared" si="27"/>
        <v>46178</v>
      </c>
      <c r="E356" s="9" t="s">
        <v>40</v>
      </c>
      <c r="F356">
        <f t="shared" si="28"/>
        <v>0</v>
      </c>
      <c r="G356">
        <f t="shared" si="29"/>
        <v>18</v>
      </c>
      <c r="AJ356" s="40">
        <v>46178</v>
      </c>
      <c r="AK356" s="9" t="s">
        <v>205</v>
      </c>
      <c r="AL356" s="9" t="s">
        <v>40</v>
      </c>
      <c r="AM356" s="9"/>
      <c r="AN356" s="9">
        <v>75</v>
      </c>
      <c r="AO356" s="9">
        <v>48</v>
      </c>
      <c r="AP356" s="9">
        <v>56</v>
      </c>
      <c r="AQ356" s="9">
        <v>25</v>
      </c>
      <c r="AR356" s="9">
        <v>20</v>
      </c>
      <c r="AS356" s="9">
        <v>28</v>
      </c>
      <c r="AT356" s="9">
        <v>30</v>
      </c>
      <c r="AU356" s="9">
        <v>36</v>
      </c>
      <c r="AV356" s="9">
        <v>34</v>
      </c>
      <c r="AW356" s="9">
        <v>37</v>
      </c>
      <c r="AX356" s="9">
        <v>44</v>
      </c>
      <c r="AY356" s="9">
        <v>35</v>
      </c>
      <c r="AZ356" s="9">
        <v>92</v>
      </c>
    </row>
    <row r="357" spans="2:52">
      <c r="B357" t="str">
        <f t="shared" si="25"/>
        <v>Jun</v>
      </c>
      <c r="C357" s="43">
        <f t="shared" si="26"/>
        <v>46180</v>
      </c>
      <c r="D357" s="44">
        <f t="shared" si="27"/>
        <v>46178</v>
      </c>
      <c r="E357" s="9" t="s">
        <v>41</v>
      </c>
      <c r="F357">
        <f t="shared" si="28"/>
        <v>0</v>
      </c>
      <c r="G357">
        <f t="shared" si="29"/>
        <v>14</v>
      </c>
      <c r="AJ357" s="40">
        <v>46178</v>
      </c>
      <c r="AK357" s="9" t="s">
        <v>41</v>
      </c>
      <c r="AL357" s="9" t="s">
        <v>41</v>
      </c>
      <c r="AM357" s="9"/>
      <c r="AN357" s="9">
        <v>13</v>
      </c>
      <c r="AO357" s="9">
        <v>10</v>
      </c>
      <c r="AP357" s="9">
        <v>6</v>
      </c>
      <c r="AQ357" s="9">
        <v>3</v>
      </c>
      <c r="AR357" s="9">
        <v>0</v>
      </c>
      <c r="AS357" s="9">
        <v>9</v>
      </c>
      <c r="AT357" s="9">
        <v>8</v>
      </c>
      <c r="AU357" s="9">
        <v>66</v>
      </c>
      <c r="AV357" s="9">
        <v>71</v>
      </c>
      <c r="AW357" s="9">
        <v>68</v>
      </c>
      <c r="AX357" s="9">
        <v>28</v>
      </c>
      <c r="AY357" s="9">
        <v>24</v>
      </c>
      <c r="AZ357" s="9">
        <v>28</v>
      </c>
    </row>
    <row r="358" spans="2:52">
      <c r="B358" t="str">
        <f t="shared" si="25"/>
        <v>Jun</v>
      </c>
      <c r="C358" s="43">
        <f t="shared" si="26"/>
        <v>46180</v>
      </c>
      <c r="D358" s="44">
        <f t="shared" si="27"/>
        <v>46178</v>
      </c>
      <c r="E358" s="9" t="s">
        <v>45</v>
      </c>
      <c r="F358">
        <f t="shared" si="28"/>
        <v>0</v>
      </c>
      <c r="G358">
        <f t="shared" si="29"/>
        <v>87</v>
      </c>
      <c r="AJ358" s="40">
        <v>46178</v>
      </c>
      <c r="AK358" s="9" t="s">
        <v>202</v>
      </c>
      <c r="AL358" s="9" t="s">
        <v>45</v>
      </c>
      <c r="AM358" s="9"/>
      <c r="AN358" s="9">
        <v>27</v>
      </c>
      <c r="AO358" s="9">
        <v>27</v>
      </c>
      <c r="AP358" s="9">
        <v>22</v>
      </c>
      <c r="AQ358" s="9">
        <v>24</v>
      </c>
      <c r="AR358" s="9">
        <v>72</v>
      </c>
      <c r="AS358" s="9">
        <v>71</v>
      </c>
      <c r="AT358" s="9">
        <v>79</v>
      </c>
      <c r="AU358" s="9">
        <v>64</v>
      </c>
      <c r="AV358" s="9">
        <v>71</v>
      </c>
      <c r="AW358" s="9">
        <v>73</v>
      </c>
      <c r="AX358" s="9">
        <v>77</v>
      </c>
      <c r="AY358" s="9">
        <v>81</v>
      </c>
      <c r="AZ358" s="9">
        <v>87</v>
      </c>
    </row>
    <row r="359" spans="2:52">
      <c r="B359" t="str">
        <f t="shared" si="25"/>
        <v>Jun</v>
      </c>
      <c r="C359" s="43">
        <f t="shared" si="26"/>
        <v>46180</v>
      </c>
      <c r="D359" s="44">
        <f t="shared" si="27"/>
        <v>46178</v>
      </c>
      <c r="E359" s="9" t="s">
        <v>46</v>
      </c>
      <c r="F359">
        <f t="shared" si="28"/>
        <v>0</v>
      </c>
      <c r="G359">
        <f t="shared" si="29"/>
        <v>-22</v>
      </c>
      <c r="AJ359" s="40">
        <v>46178</v>
      </c>
      <c r="AK359" s="9" t="s">
        <v>202</v>
      </c>
      <c r="AL359" s="9" t="s">
        <v>46</v>
      </c>
      <c r="AM359" s="9"/>
      <c r="AN359" s="9">
        <v>12</v>
      </c>
      <c r="AO359" s="9">
        <v>12</v>
      </c>
      <c r="AP359" s="9">
        <v>17</v>
      </c>
      <c r="AQ359" s="9">
        <v>15</v>
      </c>
      <c r="AR359" s="9">
        <v>0</v>
      </c>
      <c r="AS359" s="9">
        <v>2</v>
      </c>
      <c r="AT359" s="9">
        <v>3</v>
      </c>
      <c r="AU359" s="9">
        <v>1</v>
      </c>
      <c r="AV359" s="9">
        <v>0</v>
      </c>
      <c r="AW359" s="9">
        <v>4</v>
      </c>
      <c r="AX359" s="9">
        <v>5</v>
      </c>
      <c r="AY359" s="9">
        <v>7</v>
      </c>
      <c r="AZ359" s="9">
        <v>9</v>
      </c>
    </row>
    <row r="360" spans="2:52">
      <c r="B360" t="str">
        <f t="shared" si="25"/>
        <v>Jun</v>
      </c>
      <c r="C360" s="43">
        <f t="shared" si="26"/>
        <v>46180</v>
      </c>
      <c r="D360" s="44">
        <f t="shared" si="27"/>
        <v>46178</v>
      </c>
      <c r="E360" s="9" t="s">
        <v>47</v>
      </c>
      <c r="F360">
        <f t="shared" si="28"/>
        <v>0</v>
      </c>
      <c r="G360">
        <f t="shared" si="29"/>
        <v>16</v>
      </c>
      <c r="AJ360" s="40">
        <v>46178</v>
      </c>
      <c r="AK360" s="9" t="s">
        <v>202</v>
      </c>
      <c r="AL360" s="9" t="s">
        <v>47</v>
      </c>
      <c r="AM360" s="9"/>
      <c r="AN360" s="9">
        <v>0</v>
      </c>
      <c r="AO360" s="9">
        <v>5</v>
      </c>
      <c r="AP360" s="9">
        <v>37</v>
      </c>
      <c r="AQ360" s="9">
        <v>34</v>
      </c>
      <c r="AR360" s="9">
        <v>0</v>
      </c>
      <c r="AS360" s="9">
        <v>0</v>
      </c>
      <c r="AT360" s="9">
        <v>2</v>
      </c>
      <c r="AU360" s="9">
        <v>2</v>
      </c>
      <c r="AV360" s="9">
        <v>5</v>
      </c>
      <c r="AW360" s="9">
        <v>0</v>
      </c>
      <c r="AX360" s="9">
        <v>0</v>
      </c>
      <c r="AY360" s="9">
        <v>0</v>
      </c>
      <c r="AZ360" s="9">
        <v>37</v>
      </c>
    </row>
    <row r="361" spans="2:52">
      <c r="B361" t="str">
        <f t="shared" si="25"/>
        <v>Jun</v>
      </c>
      <c r="C361" s="43">
        <f t="shared" si="26"/>
        <v>46180</v>
      </c>
      <c r="D361" s="44">
        <f t="shared" si="27"/>
        <v>46178</v>
      </c>
      <c r="E361" s="9" t="s">
        <v>206</v>
      </c>
      <c r="F361">
        <f t="shared" si="28"/>
        <v>0</v>
      </c>
      <c r="G361">
        <f t="shared" si="29"/>
        <v>26</v>
      </c>
      <c r="AJ361" s="40">
        <v>46178</v>
      </c>
      <c r="AK361" s="9" t="s">
        <v>43</v>
      </c>
      <c r="AL361" s="9" t="s">
        <v>206</v>
      </c>
      <c r="AM361" s="9"/>
      <c r="AN361" s="9">
        <v>232</v>
      </c>
      <c r="AO361" s="9">
        <v>237</v>
      </c>
      <c r="AP361" s="9">
        <v>236</v>
      </c>
      <c r="AQ361" s="9">
        <v>240</v>
      </c>
      <c r="AR361" s="9">
        <v>0</v>
      </c>
      <c r="AS361" s="9">
        <v>1</v>
      </c>
      <c r="AT361" s="9">
        <v>0</v>
      </c>
      <c r="AU361" s="9">
        <v>0</v>
      </c>
      <c r="AV361" s="9">
        <v>28</v>
      </c>
      <c r="AW361" s="9">
        <v>58</v>
      </c>
      <c r="AX361" s="9">
        <v>52</v>
      </c>
      <c r="AY361" s="9">
        <v>44</v>
      </c>
      <c r="AZ361" s="9">
        <v>47</v>
      </c>
    </row>
    <row r="362" spans="2:52">
      <c r="B362" t="str">
        <f t="shared" si="25"/>
        <v>Jun</v>
      </c>
      <c r="C362" s="43">
        <f t="shared" si="26"/>
        <v>46180</v>
      </c>
      <c r="D362" s="44">
        <f t="shared" si="27"/>
        <v>46178</v>
      </c>
      <c r="E362" s="9" t="s">
        <v>207</v>
      </c>
      <c r="F362">
        <f t="shared" si="28"/>
        <v>0</v>
      </c>
      <c r="G362">
        <f t="shared" si="29"/>
        <v>-46</v>
      </c>
      <c r="AJ362" s="40">
        <v>46178</v>
      </c>
      <c r="AK362" s="9" t="s">
        <v>203</v>
      </c>
      <c r="AL362" s="9" t="s">
        <v>207</v>
      </c>
      <c r="AM362" s="9"/>
      <c r="AN362" s="9">
        <v>33</v>
      </c>
      <c r="AO362" s="9">
        <v>99</v>
      </c>
      <c r="AP362" s="9">
        <v>103</v>
      </c>
      <c r="AQ362" s="9">
        <v>112</v>
      </c>
      <c r="AR362" s="9">
        <v>108</v>
      </c>
      <c r="AS362" s="9">
        <v>109</v>
      </c>
      <c r="AT362" s="9">
        <v>118</v>
      </c>
      <c r="AU362" s="9">
        <v>111</v>
      </c>
      <c r="AV362" s="9">
        <v>0</v>
      </c>
      <c r="AW362" s="9">
        <v>3</v>
      </c>
      <c r="AX362" s="9">
        <v>1</v>
      </c>
      <c r="AY362" s="9">
        <v>0</v>
      </c>
      <c r="AZ362" s="9">
        <v>15</v>
      </c>
    </row>
    <row r="363" spans="2:52">
      <c r="B363" t="str">
        <f t="shared" si="25"/>
        <v>Jun</v>
      </c>
      <c r="C363" s="43">
        <f t="shared" si="26"/>
        <v>46180</v>
      </c>
      <c r="D363" s="44">
        <f t="shared" si="27"/>
        <v>46178</v>
      </c>
      <c r="E363" s="9" t="s">
        <v>42</v>
      </c>
      <c r="F363">
        <f t="shared" si="28"/>
        <v>0</v>
      </c>
      <c r="G363">
        <f t="shared" si="29"/>
        <v>54</v>
      </c>
      <c r="AJ363" s="40">
        <v>46178</v>
      </c>
      <c r="AK363" s="9" t="s">
        <v>42</v>
      </c>
      <c r="AL363" s="9" t="s">
        <v>42</v>
      </c>
      <c r="AM363" s="9"/>
      <c r="AN363" s="9">
        <v>37</v>
      </c>
      <c r="AO363" s="9">
        <v>39</v>
      </c>
      <c r="AP363" s="9">
        <v>46</v>
      </c>
      <c r="AQ363" s="9">
        <v>53</v>
      </c>
      <c r="AR363" s="9">
        <v>51</v>
      </c>
      <c r="AS363" s="9">
        <v>0</v>
      </c>
      <c r="AT363" s="9">
        <v>13</v>
      </c>
      <c r="AU363" s="9">
        <v>18</v>
      </c>
      <c r="AV363" s="9">
        <v>18</v>
      </c>
      <c r="AW363" s="9">
        <v>24</v>
      </c>
      <c r="AX363" s="9">
        <v>0</v>
      </c>
      <c r="AY363" s="9">
        <v>50</v>
      </c>
      <c r="AZ363" s="9">
        <v>56</v>
      </c>
    </row>
    <row r="364" spans="2:52">
      <c r="B364" t="str">
        <f t="shared" si="25"/>
        <v>Jun</v>
      </c>
      <c r="C364" s="43">
        <f t="shared" si="26"/>
        <v>46180</v>
      </c>
      <c r="D364" s="44">
        <f t="shared" si="27"/>
        <v>46179</v>
      </c>
      <c r="E364" s="9" t="s">
        <v>31</v>
      </c>
      <c r="F364">
        <f t="shared" si="28"/>
        <v>0</v>
      </c>
      <c r="G364">
        <f t="shared" si="29"/>
        <v>159</v>
      </c>
      <c r="AJ364" s="40">
        <v>46179</v>
      </c>
      <c r="AK364" s="9" t="s">
        <v>204</v>
      </c>
      <c r="AL364" s="9" t="s">
        <v>31</v>
      </c>
      <c r="AM364" s="9"/>
      <c r="AN364" s="9">
        <v>82</v>
      </c>
      <c r="AO364" s="9">
        <v>89</v>
      </c>
      <c r="AP364" s="9">
        <v>98</v>
      </c>
      <c r="AQ364" s="9">
        <v>107</v>
      </c>
      <c r="AR364" s="9">
        <v>118</v>
      </c>
      <c r="AS364" s="9">
        <v>124</v>
      </c>
      <c r="AT364" s="9">
        <v>117</v>
      </c>
      <c r="AU364" s="9">
        <v>103</v>
      </c>
      <c r="AV364" s="9">
        <v>119</v>
      </c>
      <c r="AW364" s="9">
        <v>133</v>
      </c>
      <c r="AX364" s="9">
        <v>193</v>
      </c>
      <c r="AY364" s="9">
        <v>200</v>
      </c>
      <c r="AZ364" s="9">
        <v>195</v>
      </c>
    </row>
    <row r="365" spans="2:52">
      <c r="B365" t="str">
        <f t="shared" si="25"/>
        <v>Jun</v>
      </c>
      <c r="C365" s="43">
        <f t="shared" si="26"/>
        <v>46180</v>
      </c>
      <c r="D365" s="44">
        <f t="shared" si="27"/>
        <v>46179</v>
      </c>
      <c r="E365" s="9" t="s">
        <v>39</v>
      </c>
      <c r="F365">
        <f t="shared" si="28"/>
        <v>0</v>
      </c>
      <c r="G365">
        <f t="shared" si="29"/>
        <v>-109</v>
      </c>
      <c r="AJ365" s="40">
        <v>46179</v>
      </c>
      <c r="AK365" s="9" t="s">
        <v>205</v>
      </c>
      <c r="AL365" s="9" t="s">
        <v>39</v>
      </c>
      <c r="AM365" s="9"/>
      <c r="AN365" s="9">
        <v>80</v>
      </c>
      <c r="AO365" s="9">
        <v>74</v>
      </c>
      <c r="AP365" s="9">
        <v>47</v>
      </c>
      <c r="AQ365" s="9">
        <v>63</v>
      </c>
      <c r="AR365" s="9">
        <v>66</v>
      </c>
      <c r="AS365" s="9">
        <v>55</v>
      </c>
      <c r="AT365" s="9">
        <v>43</v>
      </c>
      <c r="AU365" s="9">
        <v>36</v>
      </c>
      <c r="AV365" s="9">
        <v>44</v>
      </c>
      <c r="AW365" s="9">
        <v>47</v>
      </c>
      <c r="AX365" s="9">
        <v>59</v>
      </c>
      <c r="AY365" s="9">
        <v>74</v>
      </c>
      <c r="AZ365" s="9">
        <v>73</v>
      </c>
    </row>
    <row r="366" spans="2:52">
      <c r="B366" t="str">
        <f t="shared" si="25"/>
        <v>Jun</v>
      </c>
      <c r="C366" s="43">
        <f t="shared" si="26"/>
        <v>46180</v>
      </c>
      <c r="D366" s="44">
        <f t="shared" si="27"/>
        <v>46179</v>
      </c>
      <c r="E366" s="9" t="s">
        <v>40</v>
      </c>
      <c r="F366">
        <f t="shared" si="28"/>
        <v>0</v>
      </c>
      <c r="G366">
        <f t="shared" si="29"/>
        <v>100</v>
      </c>
      <c r="AJ366" s="40">
        <v>46179</v>
      </c>
      <c r="AK366" s="9" t="s">
        <v>205</v>
      </c>
      <c r="AL366" s="9" t="s">
        <v>40</v>
      </c>
      <c r="AM366" s="9"/>
      <c r="AN366" s="9">
        <v>70</v>
      </c>
      <c r="AO366" s="9">
        <v>77</v>
      </c>
      <c r="AP366" s="9">
        <v>76</v>
      </c>
      <c r="AQ366" s="9">
        <v>86</v>
      </c>
      <c r="AR366" s="9">
        <v>78</v>
      </c>
      <c r="AS366" s="9">
        <v>72</v>
      </c>
      <c r="AT366" s="9">
        <v>81</v>
      </c>
      <c r="AU366" s="9">
        <v>115</v>
      </c>
      <c r="AV366" s="9">
        <v>126</v>
      </c>
      <c r="AW366" s="9">
        <v>151</v>
      </c>
      <c r="AX366" s="9">
        <v>156</v>
      </c>
      <c r="AY366" s="9">
        <v>192</v>
      </c>
      <c r="AZ366" s="9">
        <v>192</v>
      </c>
    </row>
    <row r="367" spans="2:52">
      <c r="B367" t="str">
        <f t="shared" si="25"/>
        <v>Jun</v>
      </c>
      <c r="C367" s="43">
        <f t="shared" si="26"/>
        <v>46180</v>
      </c>
      <c r="D367" s="44">
        <f t="shared" si="27"/>
        <v>46179</v>
      </c>
      <c r="E367" s="9" t="s">
        <v>41</v>
      </c>
      <c r="F367">
        <f t="shared" si="28"/>
        <v>0</v>
      </c>
      <c r="G367">
        <f t="shared" si="29"/>
        <v>-28</v>
      </c>
      <c r="AJ367" s="40">
        <v>46179</v>
      </c>
      <c r="AK367" s="9" t="s">
        <v>41</v>
      </c>
      <c r="AL367" s="9" t="s">
        <v>41</v>
      </c>
      <c r="AM367" s="9"/>
      <c r="AN367" s="9">
        <v>63</v>
      </c>
      <c r="AO367" s="9">
        <v>41</v>
      </c>
      <c r="AP367" s="9">
        <v>42</v>
      </c>
      <c r="AQ367" s="9">
        <v>43</v>
      </c>
      <c r="AR367" s="9">
        <v>0</v>
      </c>
      <c r="AS367" s="9">
        <v>1</v>
      </c>
      <c r="AT367" s="9">
        <v>5</v>
      </c>
      <c r="AU367" s="9">
        <v>5</v>
      </c>
      <c r="AV367" s="9">
        <v>6</v>
      </c>
      <c r="AW367" s="9">
        <v>2</v>
      </c>
      <c r="AX367" s="9">
        <v>2</v>
      </c>
      <c r="AY367" s="9">
        <v>0</v>
      </c>
      <c r="AZ367" s="9">
        <v>0</v>
      </c>
    </row>
    <row r="368" spans="2:52">
      <c r="B368" t="str">
        <f t="shared" si="25"/>
        <v>Jun</v>
      </c>
      <c r="C368" s="43">
        <f t="shared" si="26"/>
        <v>46180</v>
      </c>
      <c r="D368" s="44">
        <f t="shared" si="27"/>
        <v>46179</v>
      </c>
      <c r="E368" s="9" t="s">
        <v>45</v>
      </c>
      <c r="F368">
        <f t="shared" si="28"/>
        <v>0</v>
      </c>
      <c r="G368">
        <f t="shared" si="29"/>
        <v>-45</v>
      </c>
      <c r="AJ368" s="40">
        <v>46179</v>
      </c>
      <c r="AK368" s="9" t="s">
        <v>202</v>
      </c>
      <c r="AL368" s="9" t="s">
        <v>45</v>
      </c>
      <c r="AM368" s="9"/>
      <c r="AN368" s="9">
        <v>65</v>
      </c>
      <c r="AO368" s="9">
        <v>240</v>
      </c>
      <c r="AP368" s="9">
        <v>240</v>
      </c>
      <c r="AQ368" s="9">
        <v>240</v>
      </c>
      <c r="AR368" s="9">
        <v>240</v>
      </c>
      <c r="AS368" s="9">
        <v>240</v>
      </c>
      <c r="AT368" s="9">
        <v>0</v>
      </c>
      <c r="AU368" s="9">
        <v>3</v>
      </c>
      <c r="AV368" s="9">
        <v>0</v>
      </c>
      <c r="AW368" s="9">
        <v>7</v>
      </c>
      <c r="AX368" s="9">
        <v>7</v>
      </c>
      <c r="AY368" s="9">
        <v>36</v>
      </c>
      <c r="AZ368" s="9">
        <v>42</v>
      </c>
    </row>
    <row r="369" spans="2:52">
      <c r="B369" t="str">
        <f t="shared" si="25"/>
        <v>Jun</v>
      </c>
      <c r="C369" s="43">
        <f t="shared" si="26"/>
        <v>46180</v>
      </c>
      <c r="D369" s="44">
        <f t="shared" si="27"/>
        <v>46179</v>
      </c>
      <c r="E369" s="9" t="s">
        <v>46</v>
      </c>
      <c r="F369">
        <f t="shared" si="28"/>
        <v>0</v>
      </c>
      <c r="G369">
        <f t="shared" si="29"/>
        <v>-3</v>
      </c>
      <c r="AJ369" s="40">
        <v>46179</v>
      </c>
      <c r="AK369" s="9" t="s">
        <v>202</v>
      </c>
      <c r="AL369" s="9" t="s">
        <v>46</v>
      </c>
      <c r="AM369" s="9"/>
      <c r="AN369" s="9">
        <v>33</v>
      </c>
      <c r="AO369" s="9">
        <v>37</v>
      </c>
      <c r="AP369" s="9">
        <v>0</v>
      </c>
      <c r="AQ369" s="9">
        <v>17</v>
      </c>
      <c r="AR369" s="9">
        <v>0</v>
      </c>
      <c r="AS369" s="9">
        <v>19</v>
      </c>
      <c r="AT369" s="9">
        <v>79</v>
      </c>
      <c r="AU369" s="9">
        <v>83</v>
      </c>
      <c r="AV369" s="9">
        <v>0</v>
      </c>
      <c r="AW369" s="9">
        <v>0</v>
      </c>
      <c r="AX369" s="9">
        <v>1</v>
      </c>
      <c r="AY369" s="9">
        <v>0</v>
      </c>
      <c r="AZ369" s="9">
        <v>6</v>
      </c>
    </row>
    <row r="370" spans="2:52">
      <c r="B370" t="str">
        <f t="shared" si="25"/>
        <v>Jun</v>
      </c>
      <c r="C370" s="43">
        <f t="shared" si="26"/>
        <v>46180</v>
      </c>
      <c r="D370" s="44">
        <f t="shared" si="27"/>
        <v>46179</v>
      </c>
      <c r="E370" s="9" t="s">
        <v>47</v>
      </c>
      <c r="F370">
        <f t="shared" si="28"/>
        <v>0</v>
      </c>
      <c r="G370">
        <f t="shared" si="29"/>
        <v>-34</v>
      </c>
      <c r="AJ370" s="40">
        <v>46179</v>
      </c>
      <c r="AK370" s="9" t="s">
        <v>202</v>
      </c>
      <c r="AL370" s="9" t="s">
        <v>47</v>
      </c>
      <c r="AM370" s="9"/>
      <c r="AN370" s="9">
        <v>12</v>
      </c>
      <c r="AO370" s="9">
        <v>0</v>
      </c>
      <c r="AP370" s="9">
        <v>3</v>
      </c>
      <c r="AQ370" s="9">
        <v>6</v>
      </c>
      <c r="AR370" s="9">
        <v>6</v>
      </c>
      <c r="AS370" s="9">
        <v>66</v>
      </c>
      <c r="AT370" s="9">
        <v>62</v>
      </c>
      <c r="AU370" s="9">
        <v>66</v>
      </c>
      <c r="AV370" s="9">
        <v>69</v>
      </c>
      <c r="AW370" s="9">
        <v>0</v>
      </c>
      <c r="AX370" s="9">
        <v>1</v>
      </c>
      <c r="AY370" s="9">
        <v>0</v>
      </c>
      <c r="AZ370" s="9">
        <v>3</v>
      </c>
    </row>
    <row r="371" spans="2:52">
      <c r="B371" t="str">
        <f t="shared" si="25"/>
        <v>Jun</v>
      </c>
      <c r="C371" s="43">
        <f t="shared" si="26"/>
        <v>46180</v>
      </c>
      <c r="D371" s="44">
        <f t="shared" si="27"/>
        <v>46179</v>
      </c>
      <c r="E371" s="9" t="s">
        <v>206</v>
      </c>
      <c r="F371">
        <f t="shared" si="28"/>
        <v>0</v>
      </c>
      <c r="G371">
        <f t="shared" si="29"/>
        <v>8</v>
      </c>
      <c r="AJ371" s="40">
        <v>46179</v>
      </c>
      <c r="AK371" s="9" t="s">
        <v>43</v>
      </c>
      <c r="AL371" s="9" t="s">
        <v>206</v>
      </c>
      <c r="AM371" s="9"/>
      <c r="AN371" s="9">
        <v>63</v>
      </c>
      <c r="AO371" s="9">
        <v>55</v>
      </c>
      <c r="AP371" s="9">
        <v>54</v>
      </c>
      <c r="AQ371" s="9">
        <v>51</v>
      </c>
      <c r="AR371" s="9">
        <v>0</v>
      </c>
      <c r="AS371" s="9">
        <v>0</v>
      </c>
      <c r="AT371" s="9">
        <v>11</v>
      </c>
      <c r="AU371" s="9">
        <v>23</v>
      </c>
      <c r="AV371" s="9">
        <v>0</v>
      </c>
      <c r="AW371" s="9">
        <v>1</v>
      </c>
      <c r="AX371" s="9">
        <v>8</v>
      </c>
      <c r="AY371" s="9">
        <v>6</v>
      </c>
      <c r="AZ371" s="9">
        <v>55</v>
      </c>
    </row>
    <row r="372" spans="2:52">
      <c r="B372" t="str">
        <f t="shared" si="25"/>
        <v>Jun</v>
      </c>
      <c r="C372" s="43">
        <f t="shared" si="26"/>
        <v>46180</v>
      </c>
      <c r="D372" s="44">
        <f t="shared" si="27"/>
        <v>46179</v>
      </c>
      <c r="E372" s="9" t="s">
        <v>207</v>
      </c>
      <c r="F372">
        <f t="shared" si="28"/>
        <v>0</v>
      </c>
      <c r="G372">
        <f t="shared" si="29"/>
        <v>25</v>
      </c>
      <c r="AJ372" s="40">
        <v>46179</v>
      </c>
      <c r="AK372" s="9" t="s">
        <v>203</v>
      </c>
      <c r="AL372" s="9" t="s">
        <v>207</v>
      </c>
      <c r="AM372" s="9"/>
      <c r="AN372" s="9">
        <v>26</v>
      </c>
      <c r="AO372" s="9">
        <v>27</v>
      </c>
      <c r="AP372" s="9">
        <v>33</v>
      </c>
      <c r="AQ372" s="9">
        <v>26</v>
      </c>
      <c r="AR372" s="9">
        <v>19</v>
      </c>
      <c r="AS372" s="9">
        <v>0</v>
      </c>
      <c r="AT372" s="9">
        <v>0</v>
      </c>
      <c r="AU372" s="9">
        <v>31</v>
      </c>
      <c r="AV372" s="9">
        <v>34</v>
      </c>
      <c r="AW372" s="9">
        <v>30</v>
      </c>
      <c r="AX372" s="9">
        <v>38</v>
      </c>
      <c r="AY372" s="9">
        <v>35</v>
      </c>
      <c r="AZ372" s="9">
        <v>40</v>
      </c>
    </row>
    <row r="373" spans="2:52">
      <c r="B373" t="str">
        <f t="shared" si="25"/>
        <v>Jun</v>
      </c>
      <c r="C373" s="43">
        <f t="shared" si="26"/>
        <v>46180</v>
      </c>
      <c r="D373" s="44">
        <f t="shared" si="27"/>
        <v>46179</v>
      </c>
      <c r="E373" s="9" t="s">
        <v>42</v>
      </c>
      <c r="F373">
        <f t="shared" si="28"/>
        <v>0</v>
      </c>
      <c r="G373">
        <f t="shared" si="29"/>
        <v>-32</v>
      </c>
      <c r="AJ373" s="40">
        <v>46179</v>
      </c>
      <c r="AK373" s="9" t="s">
        <v>42</v>
      </c>
      <c r="AL373" s="9" t="s">
        <v>42</v>
      </c>
      <c r="AM373" s="9"/>
      <c r="AN373" s="9">
        <v>13</v>
      </c>
      <c r="AO373" s="9">
        <v>13</v>
      </c>
      <c r="AP373" s="9">
        <v>146</v>
      </c>
      <c r="AQ373" s="9">
        <v>142</v>
      </c>
      <c r="AR373" s="9">
        <v>111</v>
      </c>
      <c r="AS373" s="9">
        <v>117</v>
      </c>
      <c r="AT373" s="9">
        <v>114</v>
      </c>
      <c r="AU373" s="9">
        <v>121</v>
      </c>
      <c r="AV373" s="9">
        <v>119</v>
      </c>
      <c r="AW373" s="9">
        <v>0</v>
      </c>
      <c r="AX373" s="9">
        <v>1</v>
      </c>
      <c r="AY373" s="9">
        <v>0</v>
      </c>
      <c r="AZ373" s="9">
        <v>24</v>
      </c>
    </row>
    <row r="374" spans="2:52">
      <c r="B374" t="str">
        <f t="shared" si="25"/>
        <v>Jun</v>
      </c>
      <c r="C374" s="43">
        <f t="shared" si="26"/>
        <v>46187</v>
      </c>
      <c r="D374" s="44">
        <f t="shared" si="27"/>
        <v>46180</v>
      </c>
      <c r="E374" s="9" t="s">
        <v>31</v>
      </c>
      <c r="F374">
        <f t="shared" si="28"/>
        <v>0</v>
      </c>
      <c r="G374">
        <f t="shared" si="29"/>
        <v>45</v>
      </c>
      <c r="AJ374" s="40">
        <v>46180</v>
      </c>
      <c r="AK374" s="9" t="s">
        <v>204</v>
      </c>
      <c r="AL374" s="9" t="s">
        <v>31</v>
      </c>
      <c r="AM374" s="9"/>
      <c r="AN374" s="9">
        <v>116</v>
      </c>
      <c r="AO374" s="9">
        <v>120</v>
      </c>
      <c r="AP374" s="9">
        <v>121</v>
      </c>
      <c r="AQ374" s="9">
        <v>128</v>
      </c>
      <c r="AR374" s="9">
        <v>143</v>
      </c>
      <c r="AS374" s="9">
        <v>143</v>
      </c>
      <c r="AT374" s="9">
        <v>134</v>
      </c>
      <c r="AU374" s="9">
        <v>116</v>
      </c>
      <c r="AV374" s="9">
        <v>170</v>
      </c>
      <c r="AW374" s="9">
        <v>201</v>
      </c>
      <c r="AX374" s="9">
        <v>195</v>
      </c>
      <c r="AY374" s="9">
        <v>200</v>
      </c>
      <c r="AZ374" s="9">
        <v>240</v>
      </c>
    </row>
    <row r="375" spans="2:52">
      <c r="B375" t="str">
        <f t="shared" si="25"/>
        <v>Jun</v>
      </c>
      <c r="C375" s="43">
        <f t="shared" si="26"/>
        <v>46187</v>
      </c>
      <c r="D375" s="44">
        <f t="shared" si="27"/>
        <v>46180</v>
      </c>
      <c r="E375" s="9" t="s">
        <v>39</v>
      </c>
      <c r="F375">
        <f t="shared" si="28"/>
        <v>0</v>
      </c>
      <c r="G375">
        <f t="shared" si="29"/>
        <v>30</v>
      </c>
      <c r="AJ375" s="40">
        <v>46180</v>
      </c>
      <c r="AK375" s="9" t="s">
        <v>205</v>
      </c>
      <c r="AL375" s="9" t="s">
        <v>39</v>
      </c>
      <c r="AM375" s="9"/>
      <c r="AN375" s="9">
        <v>69</v>
      </c>
      <c r="AO375" s="9">
        <v>83</v>
      </c>
      <c r="AP375" s="9">
        <v>90</v>
      </c>
      <c r="AQ375" s="9">
        <v>77</v>
      </c>
      <c r="AR375" s="9">
        <v>82</v>
      </c>
      <c r="AS375" s="9">
        <v>91</v>
      </c>
      <c r="AT375" s="9">
        <v>84</v>
      </c>
      <c r="AU375" s="9">
        <v>87</v>
      </c>
      <c r="AV375" s="9">
        <v>75</v>
      </c>
      <c r="AW375" s="9">
        <v>83</v>
      </c>
      <c r="AX375" s="9">
        <v>94</v>
      </c>
      <c r="AY375" s="9">
        <v>102</v>
      </c>
      <c r="AZ375" s="9">
        <v>103</v>
      </c>
    </row>
    <row r="376" spans="2:52">
      <c r="B376" t="str">
        <f t="shared" si="25"/>
        <v>Jun</v>
      </c>
      <c r="C376" s="43">
        <f t="shared" si="26"/>
        <v>46187</v>
      </c>
      <c r="D376" s="44">
        <f t="shared" si="27"/>
        <v>46180</v>
      </c>
      <c r="E376" s="9" t="s">
        <v>40</v>
      </c>
      <c r="F376">
        <f t="shared" si="28"/>
        <v>0</v>
      </c>
      <c r="G376">
        <f t="shared" si="29"/>
        <v>-8</v>
      </c>
      <c r="AJ376" s="40">
        <v>46180</v>
      </c>
      <c r="AK376" s="9" t="s">
        <v>205</v>
      </c>
      <c r="AL376" s="9" t="s">
        <v>40</v>
      </c>
      <c r="AM376" s="9"/>
      <c r="AN376" s="9">
        <v>83</v>
      </c>
      <c r="AO376" s="9">
        <v>79</v>
      </c>
      <c r="AP376" s="9">
        <v>89</v>
      </c>
      <c r="AQ376" s="9">
        <v>41</v>
      </c>
      <c r="AR376" s="9">
        <v>40</v>
      </c>
      <c r="AS376" s="9">
        <v>51</v>
      </c>
      <c r="AT376" s="9">
        <v>45</v>
      </c>
      <c r="AU376" s="9">
        <v>91</v>
      </c>
      <c r="AV376" s="9">
        <v>173</v>
      </c>
      <c r="AW376" s="9">
        <v>179</v>
      </c>
      <c r="AX376" s="9">
        <v>187</v>
      </c>
      <c r="AY376" s="9">
        <v>192</v>
      </c>
      <c r="AZ376" s="9">
        <v>184</v>
      </c>
    </row>
    <row r="377" spans="2:52">
      <c r="B377" t="str">
        <f t="shared" si="25"/>
        <v>Jun</v>
      </c>
      <c r="C377" s="43">
        <f t="shared" si="26"/>
        <v>46187</v>
      </c>
      <c r="D377" s="44">
        <f t="shared" si="27"/>
        <v>46180</v>
      </c>
      <c r="E377" s="9" t="s">
        <v>41</v>
      </c>
      <c r="F377">
        <f t="shared" si="28"/>
        <v>0</v>
      </c>
      <c r="G377">
        <f t="shared" si="29"/>
        <v>0</v>
      </c>
      <c r="AJ377" s="40">
        <v>46180</v>
      </c>
      <c r="AK377" s="9" t="s">
        <v>41</v>
      </c>
      <c r="AL377" s="9" t="s">
        <v>41</v>
      </c>
      <c r="AM377" s="9"/>
      <c r="AN377" s="9">
        <v>30</v>
      </c>
      <c r="AO377" s="9">
        <v>0</v>
      </c>
      <c r="AP377" s="9">
        <v>0</v>
      </c>
      <c r="AQ377" s="9">
        <v>10</v>
      </c>
      <c r="AR377" s="9">
        <v>11</v>
      </c>
      <c r="AS377" s="9">
        <v>0</v>
      </c>
      <c r="AT377" s="9">
        <v>16</v>
      </c>
      <c r="AU377" s="9">
        <v>0</v>
      </c>
      <c r="AV377" s="9">
        <v>0</v>
      </c>
      <c r="AW377" s="9">
        <v>15</v>
      </c>
      <c r="AX377" s="9">
        <v>0</v>
      </c>
      <c r="AY377" s="9">
        <v>0</v>
      </c>
      <c r="AZ377" s="9">
        <v>0</v>
      </c>
    </row>
    <row r="378" spans="2:52">
      <c r="B378" t="str">
        <f t="shared" si="25"/>
        <v>Jun</v>
      </c>
      <c r="C378" s="43">
        <f t="shared" si="26"/>
        <v>46187</v>
      </c>
      <c r="D378" s="44">
        <f t="shared" si="27"/>
        <v>46180</v>
      </c>
      <c r="E378" s="9" t="s">
        <v>45</v>
      </c>
      <c r="F378">
        <f t="shared" si="28"/>
        <v>0</v>
      </c>
      <c r="G378">
        <f t="shared" si="29"/>
        <v>-37</v>
      </c>
      <c r="AJ378" s="40">
        <v>46180</v>
      </c>
      <c r="AK378" s="9" t="s">
        <v>202</v>
      </c>
      <c r="AL378" s="9" t="s">
        <v>45</v>
      </c>
      <c r="AM378" s="9"/>
      <c r="AN378" s="9">
        <v>61</v>
      </c>
      <c r="AO378" s="9">
        <v>40</v>
      </c>
      <c r="AP378" s="9">
        <v>33</v>
      </c>
      <c r="AQ378" s="9">
        <v>0</v>
      </c>
      <c r="AR378" s="9">
        <v>0</v>
      </c>
      <c r="AS378" s="9">
        <v>0</v>
      </c>
      <c r="AT378" s="9">
        <v>0</v>
      </c>
      <c r="AU378" s="9">
        <v>4</v>
      </c>
      <c r="AV378" s="9">
        <v>8</v>
      </c>
      <c r="AW378" s="9">
        <v>0</v>
      </c>
      <c r="AX378" s="9">
        <v>0</v>
      </c>
      <c r="AY378" s="9">
        <v>6</v>
      </c>
      <c r="AZ378" s="9">
        <v>5</v>
      </c>
    </row>
    <row r="379" spans="2:52">
      <c r="B379" t="str">
        <f t="shared" si="25"/>
        <v>Jun</v>
      </c>
      <c r="C379" s="43">
        <f t="shared" si="26"/>
        <v>46187</v>
      </c>
      <c r="D379" s="44">
        <f t="shared" si="27"/>
        <v>46180</v>
      </c>
      <c r="E379" s="9" t="s">
        <v>46</v>
      </c>
      <c r="F379">
        <f t="shared" si="28"/>
        <v>0</v>
      </c>
      <c r="G379">
        <f t="shared" si="29"/>
        <v>69</v>
      </c>
      <c r="AJ379" s="40">
        <v>46180</v>
      </c>
      <c r="AK379" s="9" t="s">
        <v>202</v>
      </c>
      <c r="AL379" s="9" t="s">
        <v>46</v>
      </c>
      <c r="AM379" s="9"/>
      <c r="AN379" s="9">
        <v>0</v>
      </c>
      <c r="AO379" s="9">
        <v>17</v>
      </c>
      <c r="AP379" s="9">
        <v>20</v>
      </c>
      <c r="AQ379" s="9">
        <v>16</v>
      </c>
      <c r="AR379" s="9">
        <v>0</v>
      </c>
      <c r="AS379" s="9">
        <v>0</v>
      </c>
      <c r="AT379" s="9">
        <v>2</v>
      </c>
      <c r="AU379" s="9">
        <v>2</v>
      </c>
      <c r="AV379" s="9">
        <v>5</v>
      </c>
      <c r="AW379" s="9">
        <v>8</v>
      </c>
      <c r="AX379" s="9">
        <v>69</v>
      </c>
      <c r="AY379" s="9">
        <v>74</v>
      </c>
      <c r="AZ379" s="9">
        <v>75</v>
      </c>
    </row>
    <row r="380" spans="2:52">
      <c r="B380" t="str">
        <f t="shared" si="25"/>
        <v>Jun</v>
      </c>
      <c r="C380" s="43">
        <f t="shared" si="26"/>
        <v>46187</v>
      </c>
      <c r="D380" s="44">
        <f t="shared" si="27"/>
        <v>46180</v>
      </c>
      <c r="E380" s="9" t="s">
        <v>47</v>
      </c>
      <c r="F380">
        <f t="shared" si="28"/>
        <v>0</v>
      </c>
      <c r="G380">
        <f t="shared" si="29"/>
        <v>59</v>
      </c>
      <c r="AJ380" s="40">
        <v>46180</v>
      </c>
      <c r="AK380" s="9" t="s">
        <v>202</v>
      </c>
      <c r="AL380" s="9" t="s">
        <v>47</v>
      </c>
      <c r="AM380" s="9"/>
      <c r="AN380" s="9">
        <v>29</v>
      </c>
      <c r="AO380" s="9">
        <v>34</v>
      </c>
      <c r="AP380" s="9">
        <v>37</v>
      </c>
      <c r="AQ380" s="9">
        <v>36</v>
      </c>
      <c r="AR380" s="9">
        <v>40</v>
      </c>
      <c r="AS380" s="9">
        <v>45</v>
      </c>
      <c r="AT380" s="9">
        <v>50</v>
      </c>
      <c r="AU380" s="9">
        <v>49</v>
      </c>
      <c r="AV380" s="9">
        <v>54</v>
      </c>
      <c r="AW380" s="9">
        <v>54</v>
      </c>
      <c r="AX380" s="9">
        <v>53</v>
      </c>
      <c r="AY380" s="9">
        <v>58</v>
      </c>
      <c r="AZ380" s="9">
        <v>62</v>
      </c>
    </row>
    <row r="381" spans="2:52">
      <c r="B381" t="str">
        <f t="shared" si="25"/>
        <v>Jun</v>
      </c>
      <c r="C381" s="43">
        <f t="shared" si="26"/>
        <v>46187</v>
      </c>
      <c r="D381" s="44">
        <f t="shared" si="27"/>
        <v>46180</v>
      </c>
      <c r="E381" s="9" t="s">
        <v>206</v>
      </c>
      <c r="F381">
        <f t="shared" si="28"/>
        <v>0</v>
      </c>
      <c r="G381">
        <f t="shared" si="29"/>
        <v>-5</v>
      </c>
      <c r="AJ381" s="40">
        <v>46180</v>
      </c>
      <c r="AK381" s="9" t="s">
        <v>43</v>
      </c>
      <c r="AL381" s="9" t="s">
        <v>206</v>
      </c>
      <c r="AM381" s="9"/>
      <c r="AN381" s="9">
        <v>52</v>
      </c>
      <c r="AO381" s="9">
        <v>59</v>
      </c>
      <c r="AP381" s="9">
        <v>59</v>
      </c>
      <c r="AQ381" s="9">
        <v>76</v>
      </c>
      <c r="AR381" s="9">
        <v>78</v>
      </c>
      <c r="AS381" s="9">
        <v>87</v>
      </c>
      <c r="AT381" s="9">
        <v>97</v>
      </c>
      <c r="AU381" s="9">
        <v>0</v>
      </c>
      <c r="AV381" s="9">
        <v>5</v>
      </c>
      <c r="AW381" s="9">
        <v>0</v>
      </c>
      <c r="AX381" s="9">
        <v>50</v>
      </c>
      <c r="AY381" s="9">
        <v>45</v>
      </c>
      <c r="AZ381" s="9">
        <v>50</v>
      </c>
    </row>
    <row r="382" spans="2:52">
      <c r="B382" t="str">
        <f t="shared" si="25"/>
        <v>Jun</v>
      </c>
      <c r="C382" s="43">
        <f t="shared" si="26"/>
        <v>46187</v>
      </c>
      <c r="D382" s="44">
        <f t="shared" si="27"/>
        <v>46180</v>
      </c>
      <c r="E382" s="9" t="s">
        <v>207</v>
      </c>
      <c r="F382">
        <f t="shared" si="28"/>
        <v>0</v>
      </c>
      <c r="G382">
        <f t="shared" si="29"/>
        <v>-10</v>
      </c>
      <c r="AJ382" s="40">
        <v>46180</v>
      </c>
      <c r="AK382" s="9" t="s">
        <v>203</v>
      </c>
      <c r="AL382" s="9" t="s">
        <v>207</v>
      </c>
      <c r="AM382" s="9"/>
      <c r="AN382" s="9">
        <v>33</v>
      </c>
      <c r="AO382" s="9">
        <v>37</v>
      </c>
      <c r="AP382" s="9">
        <v>43</v>
      </c>
      <c r="AQ382" s="9">
        <v>0</v>
      </c>
      <c r="AR382" s="9">
        <v>30</v>
      </c>
      <c r="AS382" s="9">
        <v>39</v>
      </c>
      <c r="AT382" s="9">
        <v>59</v>
      </c>
      <c r="AU382" s="9">
        <v>55</v>
      </c>
      <c r="AV382" s="9">
        <v>55</v>
      </c>
      <c r="AW382" s="9">
        <v>0</v>
      </c>
      <c r="AX382" s="9">
        <v>12</v>
      </c>
      <c r="AY382" s="9">
        <v>0</v>
      </c>
      <c r="AZ382" s="9">
        <v>30</v>
      </c>
    </row>
    <row r="383" spans="2:52">
      <c r="B383" t="str">
        <f t="shared" si="25"/>
        <v>Jun</v>
      </c>
      <c r="C383" s="43">
        <f t="shared" si="26"/>
        <v>46187</v>
      </c>
      <c r="D383" s="44">
        <f t="shared" si="27"/>
        <v>46180</v>
      </c>
      <c r="E383" s="9" t="s">
        <v>42</v>
      </c>
      <c r="F383">
        <f t="shared" si="28"/>
        <v>0</v>
      </c>
      <c r="G383">
        <f t="shared" si="29"/>
        <v>-24</v>
      </c>
      <c r="AJ383" s="40">
        <v>46180</v>
      </c>
      <c r="AK383" s="9" t="s">
        <v>42</v>
      </c>
      <c r="AL383" s="9" t="s">
        <v>42</v>
      </c>
      <c r="AM383" s="9"/>
      <c r="AN383" s="9">
        <v>0</v>
      </c>
      <c r="AO383" s="9">
        <v>3</v>
      </c>
      <c r="AP383" s="9">
        <v>0</v>
      </c>
      <c r="AQ383" s="9">
        <v>0</v>
      </c>
      <c r="AR383" s="9">
        <v>0</v>
      </c>
      <c r="AS383" s="9">
        <v>117</v>
      </c>
      <c r="AT383" s="9">
        <v>117</v>
      </c>
      <c r="AU383" s="9">
        <v>120</v>
      </c>
      <c r="AV383" s="9">
        <v>115</v>
      </c>
      <c r="AW383" s="9">
        <v>116</v>
      </c>
      <c r="AX383" s="9">
        <v>115</v>
      </c>
      <c r="AY383" s="9">
        <v>117</v>
      </c>
      <c r="AZ383" s="9">
        <v>0</v>
      </c>
    </row>
    <row r="384" spans="2:52">
      <c r="B384" t="str">
        <f t="shared" si="25"/>
        <v>Jun</v>
      </c>
      <c r="C384" s="43">
        <f t="shared" si="26"/>
        <v>46187</v>
      </c>
      <c r="D384" s="44">
        <f t="shared" si="27"/>
        <v>46181</v>
      </c>
      <c r="E384" s="9" t="s">
        <v>31</v>
      </c>
      <c r="F384">
        <f t="shared" si="28"/>
        <v>0</v>
      </c>
      <c r="G384">
        <f t="shared" si="29"/>
        <v>-188</v>
      </c>
      <c r="AJ384" s="40">
        <v>46181</v>
      </c>
      <c r="AK384" s="9" t="s">
        <v>204</v>
      </c>
      <c r="AL384" s="9" t="s">
        <v>31</v>
      </c>
      <c r="AM384" s="9"/>
      <c r="AN384" s="9">
        <v>75</v>
      </c>
      <c r="AO384" s="9">
        <v>62</v>
      </c>
      <c r="AP384" s="9">
        <v>79</v>
      </c>
      <c r="AQ384" s="9">
        <v>87</v>
      </c>
      <c r="AR384" s="9">
        <v>94</v>
      </c>
      <c r="AS384" s="9">
        <v>0</v>
      </c>
      <c r="AT384" s="9">
        <v>18</v>
      </c>
      <c r="AU384" s="9">
        <v>60</v>
      </c>
      <c r="AV384" s="9">
        <v>0</v>
      </c>
      <c r="AW384" s="9">
        <v>23</v>
      </c>
      <c r="AX384" s="9">
        <v>21</v>
      </c>
      <c r="AY384" s="9">
        <v>42</v>
      </c>
      <c r="AZ384" s="9">
        <v>52</v>
      </c>
    </row>
    <row r="385" spans="2:52">
      <c r="B385" t="str">
        <f t="shared" si="25"/>
        <v>Jun</v>
      </c>
      <c r="C385" s="43">
        <f t="shared" si="26"/>
        <v>46187</v>
      </c>
      <c r="D385" s="44">
        <f t="shared" si="27"/>
        <v>46181</v>
      </c>
      <c r="E385" s="9" t="s">
        <v>39</v>
      </c>
      <c r="F385">
        <f t="shared" si="28"/>
        <v>0</v>
      </c>
      <c r="G385">
        <f t="shared" si="29"/>
        <v>-103</v>
      </c>
      <c r="AJ385" s="40">
        <v>46181</v>
      </c>
      <c r="AK385" s="9" t="s">
        <v>205</v>
      </c>
      <c r="AL385" s="9" t="s">
        <v>39</v>
      </c>
      <c r="AM385" s="9"/>
      <c r="AN385" s="9">
        <v>90</v>
      </c>
      <c r="AO385" s="9">
        <v>0</v>
      </c>
      <c r="AP385" s="9">
        <v>9</v>
      </c>
      <c r="AQ385" s="9">
        <v>7</v>
      </c>
      <c r="AR385" s="9">
        <v>7</v>
      </c>
      <c r="AS385" s="9">
        <v>17</v>
      </c>
      <c r="AT385" s="9">
        <v>170</v>
      </c>
      <c r="AU385" s="9">
        <v>170</v>
      </c>
      <c r="AV385" s="9">
        <v>0</v>
      </c>
      <c r="AW385" s="9">
        <v>20</v>
      </c>
      <c r="AX385" s="9">
        <v>14</v>
      </c>
      <c r="AY385" s="9">
        <v>9</v>
      </c>
      <c r="AZ385" s="9">
        <v>0</v>
      </c>
    </row>
    <row r="386" spans="2:52">
      <c r="B386" t="str">
        <f t="shared" si="25"/>
        <v>Jun</v>
      </c>
      <c r="C386" s="43">
        <f t="shared" si="26"/>
        <v>46187</v>
      </c>
      <c r="D386" s="44">
        <f t="shared" si="27"/>
        <v>46181</v>
      </c>
      <c r="E386" s="9" t="s">
        <v>40</v>
      </c>
      <c r="F386">
        <f t="shared" si="28"/>
        <v>0</v>
      </c>
      <c r="G386">
        <f t="shared" si="29"/>
        <v>-184</v>
      </c>
      <c r="AJ386" s="40">
        <v>46181</v>
      </c>
      <c r="AK386" s="9" t="s">
        <v>205</v>
      </c>
      <c r="AL386" s="9" t="s">
        <v>40</v>
      </c>
      <c r="AM386" s="9"/>
      <c r="AN386" s="9">
        <v>53</v>
      </c>
      <c r="AO386" s="9">
        <v>62</v>
      </c>
      <c r="AP386" s="9">
        <v>52</v>
      </c>
      <c r="AQ386" s="9">
        <v>54</v>
      </c>
      <c r="AR386" s="9">
        <v>111</v>
      </c>
      <c r="AS386" s="9">
        <v>121</v>
      </c>
      <c r="AT386" s="9">
        <v>119</v>
      </c>
      <c r="AU386" s="9">
        <v>110</v>
      </c>
      <c r="AV386" s="9">
        <v>122</v>
      </c>
      <c r="AW386" s="9">
        <v>0</v>
      </c>
      <c r="AX386" s="9">
        <v>1</v>
      </c>
      <c r="AY386" s="9">
        <v>6</v>
      </c>
      <c r="AZ386" s="9">
        <v>0</v>
      </c>
    </row>
    <row r="387" spans="2:52">
      <c r="B387" t="str">
        <f t="shared" si="25"/>
        <v>Jun</v>
      </c>
      <c r="C387" s="43">
        <f t="shared" si="26"/>
        <v>46187</v>
      </c>
      <c r="D387" s="44">
        <f t="shared" si="27"/>
        <v>46181</v>
      </c>
      <c r="E387" s="9" t="s">
        <v>41</v>
      </c>
      <c r="F387">
        <f t="shared" si="28"/>
        <v>0</v>
      </c>
      <c r="G387">
        <f t="shared" si="29"/>
        <v>8</v>
      </c>
      <c r="AJ387" s="40">
        <v>46181</v>
      </c>
      <c r="AK387" s="9" t="s">
        <v>41</v>
      </c>
      <c r="AL387" s="9" t="s">
        <v>41</v>
      </c>
      <c r="AM387" s="9"/>
      <c r="AN387" s="9">
        <v>8</v>
      </c>
      <c r="AO387" s="9">
        <v>10</v>
      </c>
      <c r="AP387" s="9">
        <v>9</v>
      </c>
      <c r="AQ387" s="9">
        <v>5</v>
      </c>
      <c r="AR387" s="9">
        <v>0</v>
      </c>
      <c r="AS387" s="9">
        <v>0</v>
      </c>
      <c r="AT387" s="9">
        <v>6</v>
      </c>
      <c r="AU387" s="9">
        <v>3</v>
      </c>
      <c r="AV387" s="9">
        <v>4</v>
      </c>
      <c r="AW387" s="9">
        <v>9</v>
      </c>
      <c r="AX387" s="9">
        <v>12</v>
      </c>
      <c r="AY387" s="9">
        <v>12</v>
      </c>
      <c r="AZ387" s="9">
        <v>8</v>
      </c>
    </row>
    <row r="388" spans="2:52">
      <c r="B388" t="str">
        <f t="shared" si="25"/>
        <v>Jun</v>
      </c>
      <c r="C388" s="43">
        <f t="shared" si="26"/>
        <v>46187</v>
      </c>
      <c r="D388" s="44">
        <f t="shared" si="27"/>
        <v>46181</v>
      </c>
      <c r="E388" s="9" t="s">
        <v>45</v>
      </c>
      <c r="F388">
        <f t="shared" si="28"/>
        <v>0</v>
      </c>
      <c r="G388">
        <f t="shared" si="29"/>
        <v>25</v>
      </c>
      <c r="AJ388" s="40">
        <v>46181</v>
      </c>
      <c r="AK388" s="9" t="s">
        <v>202</v>
      </c>
      <c r="AL388" s="9" t="s">
        <v>45</v>
      </c>
      <c r="AM388" s="9"/>
      <c r="AN388" s="9">
        <v>0</v>
      </c>
      <c r="AO388" s="9">
        <v>167</v>
      </c>
      <c r="AP388" s="9">
        <v>206</v>
      </c>
      <c r="AQ388" s="9">
        <v>211</v>
      </c>
      <c r="AR388" s="9">
        <v>207</v>
      </c>
      <c r="AS388" s="9">
        <v>202</v>
      </c>
      <c r="AT388" s="9">
        <v>210</v>
      </c>
      <c r="AU388" s="9">
        <v>209</v>
      </c>
      <c r="AV388" s="9">
        <v>216</v>
      </c>
      <c r="AW388" s="9">
        <v>0</v>
      </c>
      <c r="AX388" s="9">
        <v>30</v>
      </c>
      <c r="AY388" s="9">
        <v>25</v>
      </c>
      <c r="AZ388" s="9">
        <v>30</v>
      </c>
    </row>
    <row r="389" spans="2:52">
      <c r="B389" t="str">
        <f t="shared" ref="B389:B452" si="30">TEXT(C389,"MMM")</f>
        <v>Jun</v>
      </c>
      <c r="C389" s="43">
        <f t="shared" ref="C389:C452" si="31">AJ389+(8-WEEKDAY(AJ389))</f>
        <v>46187</v>
      </c>
      <c r="D389" s="44">
        <f t="shared" ref="D389:D452" si="32">AJ389</f>
        <v>46181</v>
      </c>
      <c r="E389" s="9" t="s">
        <v>46</v>
      </c>
      <c r="F389">
        <f t="shared" ref="F389:F452" si="33">IF(SUM(V389:AI389)&lt;=0,0,SUM(V389:AI389))</f>
        <v>0</v>
      </c>
      <c r="G389">
        <f t="shared" si="29"/>
        <v>-75</v>
      </c>
      <c r="AJ389" s="40">
        <v>46181</v>
      </c>
      <c r="AK389" s="9" t="s">
        <v>202</v>
      </c>
      <c r="AL389" s="9" t="s">
        <v>46</v>
      </c>
      <c r="AM389" s="9"/>
      <c r="AN389" s="9">
        <v>7</v>
      </c>
      <c r="AO389" s="9">
        <v>3</v>
      </c>
      <c r="AP389" s="9">
        <v>1</v>
      </c>
      <c r="AQ389" s="9">
        <v>29</v>
      </c>
      <c r="AR389" s="9">
        <v>28</v>
      </c>
      <c r="AS389" s="9">
        <v>30</v>
      </c>
      <c r="AT389" s="9">
        <v>61</v>
      </c>
      <c r="AU389" s="9">
        <v>62</v>
      </c>
      <c r="AV389" s="9">
        <v>59</v>
      </c>
      <c r="AW389" s="9">
        <v>0</v>
      </c>
      <c r="AX389" s="9">
        <v>8</v>
      </c>
      <c r="AY389" s="9">
        <v>11</v>
      </c>
      <c r="AZ389" s="9">
        <v>0</v>
      </c>
    </row>
    <row r="390" spans="2:52">
      <c r="B390" t="str">
        <f t="shared" si="30"/>
        <v>Jun</v>
      </c>
      <c r="C390" s="43">
        <f t="shared" si="31"/>
        <v>46187</v>
      </c>
      <c r="D390" s="44">
        <f t="shared" si="32"/>
        <v>46181</v>
      </c>
      <c r="E390" s="9" t="s">
        <v>47</v>
      </c>
      <c r="F390">
        <f t="shared" si="33"/>
        <v>0</v>
      </c>
      <c r="G390">
        <f t="shared" si="29"/>
        <v>-62</v>
      </c>
      <c r="AJ390" s="40">
        <v>46181</v>
      </c>
      <c r="AK390" s="9" t="s">
        <v>202</v>
      </c>
      <c r="AL390" s="9" t="s">
        <v>47</v>
      </c>
      <c r="AM390" s="9"/>
      <c r="AN390" s="9">
        <v>31</v>
      </c>
      <c r="AO390" s="9">
        <v>34</v>
      </c>
      <c r="AP390" s="9">
        <v>30</v>
      </c>
      <c r="AQ390" s="9">
        <v>57</v>
      </c>
      <c r="AR390" s="9">
        <v>56</v>
      </c>
      <c r="AS390" s="9">
        <v>0</v>
      </c>
      <c r="AT390" s="9">
        <v>3</v>
      </c>
      <c r="AU390" s="9">
        <v>0</v>
      </c>
      <c r="AV390" s="9">
        <v>2</v>
      </c>
      <c r="AW390" s="9">
        <v>0</v>
      </c>
      <c r="AX390" s="9">
        <v>0</v>
      </c>
      <c r="AY390" s="9">
        <v>13</v>
      </c>
      <c r="AZ390" s="9">
        <v>0</v>
      </c>
    </row>
    <row r="391" spans="2:52">
      <c r="B391" t="str">
        <f t="shared" si="30"/>
        <v>Jun</v>
      </c>
      <c r="C391" s="43">
        <f t="shared" si="31"/>
        <v>46187</v>
      </c>
      <c r="D391" s="44">
        <f t="shared" si="32"/>
        <v>46181</v>
      </c>
      <c r="E391" s="9" t="s">
        <v>206</v>
      </c>
      <c r="F391">
        <f t="shared" si="33"/>
        <v>0</v>
      </c>
      <c r="G391">
        <f t="shared" si="29"/>
        <v>4</v>
      </c>
      <c r="AJ391" s="40">
        <v>46181</v>
      </c>
      <c r="AK391" s="9" t="s">
        <v>43</v>
      </c>
      <c r="AL391" s="9" t="s">
        <v>206</v>
      </c>
      <c r="AM391" s="9"/>
      <c r="AN391" s="9">
        <v>31</v>
      </c>
      <c r="AO391" s="9">
        <v>0</v>
      </c>
      <c r="AP391" s="9">
        <v>26</v>
      </c>
      <c r="AQ391" s="9">
        <v>26</v>
      </c>
      <c r="AR391" s="9">
        <v>0</v>
      </c>
      <c r="AS391" s="9">
        <v>10</v>
      </c>
      <c r="AT391" s="9">
        <v>0</v>
      </c>
      <c r="AU391" s="9">
        <v>27</v>
      </c>
      <c r="AV391" s="9">
        <v>24</v>
      </c>
      <c r="AW391" s="9">
        <v>23</v>
      </c>
      <c r="AX391" s="9">
        <v>19</v>
      </c>
      <c r="AY391" s="9">
        <v>53</v>
      </c>
      <c r="AZ391" s="9">
        <v>54</v>
      </c>
    </row>
    <row r="392" spans="2:52">
      <c r="B392" t="str">
        <f t="shared" si="30"/>
        <v>Jun</v>
      </c>
      <c r="C392" s="43">
        <f t="shared" si="31"/>
        <v>46187</v>
      </c>
      <c r="D392" s="44">
        <f t="shared" si="32"/>
        <v>46181</v>
      </c>
      <c r="E392" s="9" t="s">
        <v>207</v>
      </c>
      <c r="F392">
        <f t="shared" si="33"/>
        <v>0</v>
      </c>
      <c r="G392">
        <f t="shared" si="29"/>
        <v>-30</v>
      </c>
      <c r="AJ392" s="40">
        <v>46181</v>
      </c>
      <c r="AK392" s="9" t="s">
        <v>203</v>
      </c>
      <c r="AL392" s="9" t="s">
        <v>207</v>
      </c>
      <c r="AM392" s="9"/>
      <c r="AN392" s="9">
        <v>17</v>
      </c>
      <c r="AO392" s="9">
        <v>0</v>
      </c>
      <c r="AP392" s="9">
        <v>0</v>
      </c>
      <c r="AQ392" s="9">
        <v>0</v>
      </c>
      <c r="AR392" s="9">
        <v>0</v>
      </c>
      <c r="AS392" s="9">
        <v>0</v>
      </c>
      <c r="AT392" s="9">
        <v>0</v>
      </c>
      <c r="AU392" s="9">
        <v>9</v>
      </c>
      <c r="AV392" s="9">
        <v>0</v>
      </c>
      <c r="AW392" s="9">
        <v>0</v>
      </c>
      <c r="AX392" s="9">
        <v>10</v>
      </c>
      <c r="AY392" s="9">
        <v>2</v>
      </c>
      <c r="AZ392" s="9">
        <v>0</v>
      </c>
    </row>
    <row r="393" spans="2:52">
      <c r="B393" t="str">
        <f t="shared" si="30"/>
        <v>Jun</v>
      </c>
      <c r="C393" s="43">
        <f t="shared" si="31"/>
        <v>46187</v>
      </c>
      <c r="D393" s="44">
        <f t="shared" si="32"/>
        <v>46181</v>
      </c>
      <c r="E393" s="9" t="s">
        <v>42</v>
      </c>
      <c r="F393">
        <f t="shared" si="33"/>
        <v>0</v>
      </c>
      <c r="G393">
        <f t="shared" si="29"/>
        <v>0</v>
      </c>
      <c r="AJ393" s="40">
        <v>46181</v>
      </c>
      <c r="AK393" s="9" t="s">
        <v>42</v>
      </c>
      <c r="AL393" s="9" t="s">
        <v>42</v>
      </c>
      <c r="AM393" s="9"/>
      <c r="AN393" s="9">
        <v>11</v>
      </c>
      <c r="AO393" s="9">
        <v>8</v>
      </c>
      <c r="AP393" s="9">
        <v>6</v>
      </c>
      <c r="AQ393" s="9">
        <v>0</v>
      </c>
      <c r="AR393" s="9">
        <v>102</v>
      </c>
      <c r="AS393" s="9">
        <v>101</v>
      </c>
      <c r="AT393" s="9">
        <v>165</v>
      </c>
      <c r="AU393" s="9">
        <v>0</v>
      </c>
      <c r="AV393" s="9">
        <v>20</v>
      </c>
      <c r="AW393" s="9">
        <v>21</v>
      </c>
      <c r="AX393" s="9">
        <v>25</v>
      </c>
      <c r="AY393" s="9">
        <v>0</v>
      </c>
      <c r="AZ393" s="9">
        <v>0</v>
      </c>
    </row>
    <row r="394" spans="2:52">
      <c r="B394" t="str">
        <f t="shared" si="30"/>
        <v>Jun</v>
      </c>
      <c r="C394" s="43">
        <f t="shared" si="31"/>
        <v>46187</v>
      </c>
      <c r="D394" s="44">
        <f t="shared" si="32"/>
        <v>46182</v>
      </c>
      <c r="E394" s="9" t="s">
        <v>31</v>
      </c>
      <c r="F394">
        <f t="shared" si="33"/>
        <v>0</v>
      </c>
      <c r="G394">
        <f t="shared" si="29"/>
        <v>188</v>
      </c>
      <c r="AJ394" s="40">
        <v>46182</v>
      </c>
      <c r="AK394" s="9" t="s">
        <v>204</v>
      </c>
      <c r="AL394" s="9" t="s">
        <v>31</v>
      </c>
      <c r="AM394" s="9"/>
      <c r="AN394" s="9">
        <v>116</v>
      </c>
      <c r="AO394" s="9">
        <v>117</v>
      </c>
      <c r="AP394" s="9">
        <v>114</v>
      </c>
      <c r="AQ394" s="9">
        <v>119</v>
      </c>
      <c r="AR394" s="9">
        <v>187</v>
      </c>
      <c r="AS394" s="9">
        <v>173</v>
      </c>
      <c r="AT394" s="9">
        <v>158</v>
      </c>
      <c r="AU394" s="9">
        <v>175</v>
      </c>
      <c r="AV394" s="9">
        <v>185</v>
      </c>
      <c r="AW394" s="9">
        <v>176</v>
      </c>
      <c r="AX394" s="9">
        <v>175</v>
      </c>
      <c r="AY394" s="9">
        <v>240</v>
      </c>
      <c r="AZ394" s="9">
        <v>240</v>
      </c>
    </row>
    <row r="395" spans="2:52">
      <c r="B395" t="str">
        <f t="shared" si="30"/>
        <v>Jun</v>
      </c>
      <c r="C395" s="43">
        <f t="shared" si="31"/>
        <v>46187</v>
      </c>
      <c r="D395" s="44">
        <f t="shared" si="32"/>
        <v>46182</v>
      </c>
      <c r="E395" s="9" t="s">
        <v>39</v>
      </c>
      <c r="F395">
        <f t="shared" si="33"/>
        <v>0</v>
      </c>
      <c r="G395">
        <f t="shared" si="29"/>
        <v>0</v>
      </c>
      <c r="AJ395" s="40">
        <v>46182</v>
      </c>
      <c r="AK395" s="9" t="s">
        <v>205</v>
      </c>
      <c r="AL395" s="9" t="s">
        <v>39</v>
      </c>
      <c r="AM395" s="9"/>
      <c r="AN395" s="9">
        <v>93</v>
      </c>
      <c r="AO395" s="9">
        <v>88</v>
      </c>
      <c r="AP395" s="9">
        <v>98</v>
      </c>
      <c r="AQ395" s="9">
        <v>0</v>
      </c>
      <c r="AR395" s="9">
        <v>14</v>
      </c>
      <c r="AS395" s="9">
        <v>15</v>
      </c>
      <c r="AT395" s="9">
        <v>9</v>
      </c>
      <c r="AU395" s="9">
        <v>0</v>
      </c>
      <c r="AV395" s="9">
        <v>0</v>
      </c>
      <c r="AW395" s="9">
        <v>0</v>
      </c>
      <c r="AX395" s="9">
        <v>0</v>
      </c>
      <c r="AY395" s="9">
        <v>8</v>
      </c>
      <c r="AZ395" s="9">
        <v>0</v>
      </c>
    </row>
    <row r="396" spans="2:52">
      <c r="B396" t="str">
        <f t="shared" si="30"/>
        <v>Jun</v>
      </c>
      <c r="C396" s="43">
        <f t="shared" si="31"/>
        <v>46187</v>
      </c>
      <c r="D396" s="44">
        <f t="shared" si="32"/>
        <v>46182</v>
      </c>
      <c r="E396" s="9" t="s">
        <v>40</v>
      </c>
      <c r="F396">
        <f t="shared" si="33"/>
        <v>0</v>
      </c>
      <c r="G396">
        <f t="shared" si="29"/>
        <v>23</v>
      </c>
      <c r="AJ396" s="40">
        <v>46182</v>
      </c>
      <c r="AK396" s="9" t="s">
        <v>205</v>
      </c>
      <c r="AL396" s="9" t="s">
        <v>40</v>
      </c>
      <c r="AM396" s="9"/>
      <c r="AN396" s="9">
        <v>25</v>
      </c>
      <c r="AO396" s="9">
        <v>27</v>
      </c>
      <c r="AP396" s="9">
        <v>29</v>
      </c>
      <c r="AQ396" s="9">
        <v>28</v>
      </c>
      <c r="AR396" s="9">
        <v>35</v>
      </c>
      <c r="AS396" s="9">
        <v>34</v>
      </c>
      <c r="AT396" s="9">
        <v>25</v>
      </c>
      <c r="AU396" s="9">
        <v>0</v>
      </c>
      <c r="AV396" s="9">
        <v>26</v>
      </c>
      <c r="AW396" s="9">
        <v>27</v>
      </c>
      <c r="AX396" s="9">
        <v>29</v>
      </c>
      <c r="AY396" s="9">
        <v>25</v>
      </c>
      <c r="AZ396" s="9">
        <v>23</v>
      </c>
    </row>
    <row r="397" spans="2:52">
      <c r="B397" t="str">
        <f t="shared" si="30"/>
        <v>Jun</v>
      </c>
      <c r="C397" s="43">
        <f t="shared" si="31"/>
        <v>46187</v>
      </c>
      <c r="D397" s="44">
        <f t="shared" si="32"/>
        <v>46182</v>
      </c>
      <c r="E397" s="9" t="s">
        <v>41</v>
      </c>
      <c r="F397">
        <f t="shared" si="33"/>
        <v>0</v>
      </c>
      <c r="G397">
        <f t="shared" si="29"/>
        <v>-8</v>
      </c>
      <c r="AJ397" s="40">
        <v>46182</v>
      </c>
      <c r="AK397" s="9" t="s">
        <v>41</v>
      </c>
      <c r="AL397" s="9" t="s">
        <v>41</v>
      </c>
      <c r="AM397" s="9"/>
      <c r="AN397" s="9">
        <v>54</v>
      </c>
      <c r="AO397" s="9">
        <v>56</v>
      </c>
      <c r="AP397" s="9">
        <v>58</v>
      </c>
      <c r="AQ397" s="9">
        <v>0</v>
      </c>
      <c r="AR397" s="9">
        <v>15</v>
      </c>
      <c r="AS397" s="9">
        <v>19</v>
      </c>
      <c r="AT397" s="9">
        <v>15</v>
      </c>
      <c r="AU397" s="9">
        <v>0</v>
      </c>
      <c r="AV397" s="9">
        <v>13</v>
      </c>
      <c r="AW397" s="9">
        <v>30</v>
      </c>
      <c r="AX397" s="9">
        <v>26</v>
      </c>
      <c r="AY397" s="9">
        <v>25</v>
      </c>
      <c r="AZ397" s="9">
        <v>0</v>
      </c>
    </row>
    <row r="398" spans="2:52">
      <c r="B398" t="str">
        <f t="shared" si="30"/>
        <v>Jun</v>
      </c>
      <c r="C398" s="43">
        <f t="shared" si="31"/>
        <v>46187</v>
      </c>
      <c r="D398" s="44">
        <f t="shared" si="32"/>
        <v>46182</v>
      </c>
      <c r="E398" s="9" t="s">
        <v>45</v>
      </c>
      <c r="F398">
        <f t="shared" si="33"/>
        <v>0</v>
      </c>
      <c r="G398">
        <f t="shared" si="29"/>
        <v>-30</v>
      </c>
      <c r="AJ398" s="40">
        <v>46182</v>
      </c>
      <c r="AK398" s="9" t="s">
        <v>202</v>
      </c>
      <c r="AL398" s="9" t="s">
        <v>45</v>
      </c>
      <c r="AM398" s="9"/>
      <c r="AN398" s="9">
        <v>0</v>
      </c>
      <c r="AO398" s="9">
        <v>6</v>
      </c>
      <c r="AP398" s="9">
        <v>6</v>
      </c>
      <c r="AQ398" s="9">
        <v>0</v>
      </c>
      <c r="AR398" s="9">
        <v>0</v>
      </c>
      <c r="AS398" s="9">
        <v>2</v>
      </c>
      <c r="AT398" s="9">
        <v>0</v>
      </c>
      <c r="AU398" s="9">
        <v>29</v>
      </c>
      <c r="AV398" s="9">
        <v>37</v>
      </c>
      <c r="AW398" s="9">
        <v>39</v>
      </c>
      <c r="AX398" s="9">
        <v>35</v>
      </c>
      <c r="AY398" s="9">
        <v>42</v>
      </c>
      <c r="AZ398" s="9">
        <v>0</v>
      </c>
    </row>
    <row r="399" spans="2:52">
      <c r="B399" t="str">
        <f t="shared" si="30"/>
        <v>Jun</v>
      </c>
      <c r="C399" s="43">
        <f t="shared" si="31"/>
        <v>46187</v>
      </c>
      <c r="D399" s="44">
        <f t="shared" si="32"/>
        <v>46182</v>
      </c>
      <c r="E399" s="9" t="s">
        <v>46</v>
      </c>
      <c r="F399">
        <f t="shared" si="33"/>
        <v>0</v>
      </c>
      <c r="G399">
        <f t="shared" ref="G399:G462" si="34">SUM(H399:U399)+AZ399-AZ389</f>
        <v>6</v>
      </c>
      <c r="AJ399" s="40">
        <v>46182</v>
      </c>
      <c r="AK399" s="9" t="s">
        <v>202</v>
      </c>
      <c r="AL399" s="9" t="s">
        <v>46</v>
      </c>
      <c r="AM399" s="9"/>
      <c r="AN399" s="9">
        <v>22</v>
      </c>
      <c r="AO399" s="9">
        <v>19</v>
      </c>
      <c r="AP399" s="9">
        <v>0</v>
      </c>
      <c r="AQ399" s="9">
        <v>8</v>
      </c>
      <c r="AR399" s="9">
        <v>5</v>
      </c>
      <c r="AS399" s="9">
        <v>5</v>
      </c>
      <c r="AT399" s="9">
        <v>6</v>
      </c>
      <c r="AU399" s="9">
        <v>2</v>
      </c>
      <c r="AV399" s="9">
        <v>7</v>
      </c>
      <c r="AW399" s="9">
        <v>5</v>
      </c>
      <c r="AX399" s="9">
        <v>6</v>
      </c>
      <c r="AY399" s="9">
        <v>8</v>
      </c>
      <c r="AZ399" s="9">
        <v>6</v>
      </c>
    </row>
    <row r="400" spans="2:52">
      <c r="B400" t="str">
        <f t="shared" si="30"/>
        <v>Jun</v>
      </c>
      <c r="C400" s="43">
        <f t="shared" si="31"/>
        <v>46187</v>
      </c>
      <c r="D400" s="44">
        <f t="shared" si="32"/>
        <v>46182</v>
      </c>
      <c r="E400" s="9" t="s">
        <v>47</v>
      </c>
      <c r="F400">
        <f t="shared" si="33"/>
        <v>0</v>
      </c>
      <c r="G400">
        <f t="shared" si="34"/>
        <v>10</v>
      </c>
      <c r="AJ400" s="40">
        <v>46182</v>
      </c>
      <c r="AK400" s="9" t="s">
        <v>202</v>
      </c>
      <c r="AL400" s="9" t="s">
        <v>47</v>
      </c>
      <c r="AM400" s="9"/>
      <c r="AN400" s="9">
        <v>56</v>
      </c>
      <c r="AO400" s="9">
        <v>214</v>
      </c>
      <c r="AP400" s="9">
        <v>0</v>
      </c>
      <c r="AQ400" s="9">
        <v>0</v>
      </c>
      <c r="AR400" s="9">
        <v>3</v>
      </c>
      <c r="AS400" s="9">
        <v>1</v>
      </c>
      <c r="AT400" s="9">
        <v>0</v>
      </c>
      <c r="AU400" s="9">
        <v>2</v>
      </c>
      <c r="AV400" s="9">
        <v>5</v>
      </c>
      <c r="AW400" s="9">
        <v>10</v>
      </c>
      <c r="AX400" s="9">
        <v>6</v>
      </c>
      <c r="AY400" s="9">
        <v>8</v>
      </c>
      <c r="AZ400" s="9">
        <v>10</v>
      </c>
    </row>
    <row r="401" spans="2:52">
      <c r="B401" t="str">
        <f t="shared" si="30"/>
        <v>Jun</v>
      </c>
      <c r="C401" s="43">
        <f t="shared" si="31"/>
        <v>46187</v>
      </c>
      <c r="D401" s="44">
        <f t="shared" si="32"/>
        <v>46182</v>
      </c>
      <c r="E401" s="9" t="s">
        <v>206</v>
      </c>
      <c r="F401">
        <f t="shared" si="33"/>
        <v>0</v>
      </c>
      <c r="G401">
        <f t="shared" si="34"/>
        <v>-21</v>
      </c>
      <c r="AJ401" s="40">
        <v>46182</v>
      </c>
      <c r="AK401" s="9" t="s">
        <v>43</v>
      </c>
      <c r="AL401" s="9" t="s">
        <v>206</v>
      </c>
      <c r="AM401" s="9"/>
      <c r="AN401" s="9">
        <v>65</v>
      </c>
      <c r="AO401" s="9">
        <v>61</v>
      </c>
      <c r="AP401" s="9">
        <v>0</v>
      </c>
      <c r="AQ401" s="9">
        <v>8</v>
      </c>
      <c r="AR401" s="9">
        <v>7</v>
      </c>
      <c r="AS401" s="9">
        <v>9</v>
      </c>
      <c r="AT401" s="9">
        <v>17</v>
      </c>
      <c r="AU401" s="9">
        <v>20</v>
      </c>
      <c r="AV401" s="9">
        <v>21</v>
      </c>
      <c r="AW401" s="9">
        <v>0</v>
      </c>
      <c r="AX401" s="9">
        <v>17</v>
      </c>
      <c r="AY401" s="9">
        <v>27</v>
      </c>
      <c r="AZ401" s="9">
        <v>33</v>
      </c>
    </row>
    <row r="402" spans="2:52">
      <c r="B402" t="str">
        <f t="shared" si="30"/>
        <v>Jun</v>
      </c>
      <c r="C402" s="43">
        <f t="shared" si="31"/>
        <v>46187</v>
      </c>
      <c r="D402" s="44">
        <f t="shared" si="32"/>
        <v>46182</v>
      </c>
      <c r="E402" s="9" t="s">
        <v>207</v>
      </c>
      <c r="F402">
        <f t="shared" si="33"/>
        <v>0</v>
      </c>
      <c r="G402">
        <f t="shared" si="34"/>
        <v>14</v>
      </c>
      <c r="AJ402" s="40">
        <v>46182</v>
      </c>
      <c r="AK402" s="9" t="s">
        <v>203</v>
      </c>
      <c r="AL402" s="9" t="s">
        <v>207</v>
      </c>
      <c r="AM402" s="9"/>
      <c r="AN402" s="9">
        <v>51</v>
      </c>
      <c r="AO402" s="9">
        <v>0</v>
      </c>
      <c r="AP402" s="9">
        <v>0</v>
      </c>
      <c r="AQ402" s="9">
        <v>7</v>
      </c>
      <c r="AR402" s="9">
        <v>15</v>
      </c>
      <c r="AS402" s="9">
        <v>20</v>
      </c>
      <c r="AT402" s="9">
        <v>15</v>
      </c>
      <c r="AU402" s="9">
        <v>12</v>
      </c>
      <c r="AV402" s="9">
        <v>7</v>
      </c>
      <c r="AW402" s="9">
        <v>2</v>
      </c>
      <c r="AX402" s="9">
        <v>4</v>
      </c>
      <c r="AY402" s="9">
        <v>0</v>
      </c>
      <c r="AZ402" s="9">
        <v>14</v>
      </c>
    </row>
    <row r="403" spans="2:52">
      <c r="B403" t="str">
        <f t="shared" si="30"/>
        <v>Jun</v>
      </c>
      <c r="C403" s="43">
        <f t="shared" si="31"/>
        <v>46187</v>
      </c>
      <c r="D403" s="44">
        <f t="shared" si="32"/>
        <v>46182</v>
      </c>
      <c r="E403" s="9" t="s">
        <v>42</v>
      </c>
      <c r="F403">
        <f t="shared" si="33"/>
        <v>0</v>
      </c>
      <c r="G403">
        <f t="shared" si="34"/>
        <v>110</v>
      </c>
      <c r="AJ403" s="40">
        <v>46182</v>
      </c>
      <c r="AK403" s="9" t="s">
        <v>42</v>
      </c>
      <c r="AL403" s="9" t="s">
        <v>42</v>
      </c>
      <c r="AM403" s="9"/>
      <c r="AN403" s="9">
        <v>91</v>
      </c>
      <c r="AO403" s="9">
        <v>93</v>
      </c>
      <c r="AP403" s="9">
        <v>48</v>
      </c>
      <c r="AQ403" s="9">
        <v>44</v>
      </c>
      <c r="AR403" s="9">
        <v>48</v>
      </c>
      <c r="AS403" s="9">
        <v>49</v>
      </c>
      <c r="AT403" s="9">
        <v>56</v>
      </c>
      <c r="AU403" s="9">
        <v>63</v>
      </c>
      <c r="AV403" s="9">
        <v>100</v>
      </c>
      <c r="AW403" s="9">
        <v>97</v>
      </c>
      <c r="AX403" s="9">
        <v>102</v>
      </c>
      <c r="AY403" s="9">
        <v>114</v>
      </c>
      <c r="AZ403" s="9">
        <v>110</v>
      </c>
    </row>
    <row r="404" spans="2:52">
      <c r="B404" t="str">
        <f t="shared" si="30"/>
        <v>Jun</v>
      </c>
      <c r="C404" s="43">
        <f t="shared" si="31"/>
        <v>46187</v>
      </c>
      <c r="D404" s="44">
        <f t="shared" si="32"/>
        <v>46183</v>
      </c>
      <c r="E404" s="9" t="s">
        <v>31</v>
      </c>
      <c r="F404">
        <f t="shared" si="33"/>
        <v>0</v>
      </c>
      <c r="G404">
        <f t="shared" si="34"/>
        <v>-179</v>
      </c>
      <c r="AJ404" s="40">
        <v>46183</v>
      </c>
      <c r="AK404" s="9" t="s">
        <v>204</v>
      </c>
      <c r="AL404" s="9" t="s">
        <v>31</v>
      </c>
      <c r="AM404" s="9"/>
      <c r="AN404" s="9">
        <v>112</v>
      </c>
      <c r="AO404" s="9">
        <v>108</v>
      </c>
      <c r="AP404" s="9">
        <v>113</v>
      </c>
      <c r="AQ404" s="9">
        <v>133</v>
      </c>
      <c r="AR404" s="9">
        <v>125</v>
      </c>
      <c r="AS404" s="9">
        <v>82</v>
      </c>
      <c r="AT404" s="9">
        <v>69</v>
      </c>
      <c r="AU404" s="9">
        <v>54</v>
      </c>
      <c r="AV404" s="9">
        <v>64</v>
      </c>
      <c r="AW404" s="9">
        <v>71</v>
      </c>
      <c r="AX404" s="9">
        <v>55</v>
      </c>
      <c r="AY404" s="9">
        <v>68</v>
      </c>
      <c r="AZ404" s="9">
        <v>61</v>
      </c>
    </row>
    <row r="405" spans="2:52">
      <c r="B405" t="str">
        <f t="shared" si="30"/>
        <v>Jun</v>
      </c>
      <c r="C405" s="43">
        <f t="shared" si="31"/>
        <v>46187</v>
      </c>
      <c r="D405" s="44">
        <f t="shared" si="32"/>
        <v>46183</v>
      </c>
      <c r="E405" s="9" t="s">
        <v>39</v>
      </c>
      <c r="F405">
        <f t="shared" si="33"/>
        <v>0</v>
      </c>
      <c r="G405">
        <f t="shared" si="34"/>
        <v>15</v>
      </c>
      <c r="AJ405" s="40">
        <v>46183</v>
      </c>
      <c r="AK405" s="9" t="s">
        <v>205</v>
      </c>
      <c r="AL405" s="9" t="s">
        <v>39</v>
      </c>
      <c r="AM405" s="9"/>
      <c r="AN405" s="9">
        <v>53</v>
      </c>
      <c r="AO405" s="9">
        <v>58</v>
      </c>
      <c r="AP405" s="9">
        <v>0</v>
      </c>
      <c r="AQ405" s="9">
        <v>0</v>
      </c>
      <c r="AR405" s="9">
        <v>6</v>
      </c>
      <c r="AS405" s="9">
        <v>0</v>
      </c>
      <c r="AT405" s="9">
        <v>38</v>
      </c>
      <c r="AU405" s="9">
        <v>33</v>
      </c>
      <c r="AV405" s="9">
        <v>24</v>
      </c>
      <c r="AW405" s="9">
        <v>15</v>
      </c>
      <c r="AX405" s="9">
        <v>0</v>
      </c>
      <c r="AY405" s="9">
        <v>0</v>
      </c>
      <c r="AZ405" s="9">
        <v>15</v>
      </c>
    </row>
    <row r="406" spans="2:52">
      <c r="B406" t="str">
        <f t="shared" si="30"/>
        <v>Jun</v>
      </c>
      <c r="C406" s="43">
        <f t="shared" si="31"/>
        <v>46187</v>
      </c>
      <c r="D406" s="44">
        <f t="shared" si="32"/>
        <v>46183</v>
      </c>
      <c r="E406" s="9" t="s">
        <v>40</v>
      </c>
      <c r="F406">
        <f t="shared" si="33"/>
        <v>0</v>
      </c>
      <c r="G406">
        <f t="shared" si="34"/>
        <v>-23</v>
      </c>
      <c r="AJ406" s="40">
        <v>46183</v>
      </c>
      <c r="AK406" s="9" t="s">
        <v>205</v>
      </c>
      <c r="AL406" s="9" t="s">
        <v>40</v>
      </c>
      <c r="AM406" s="9"/>
      <c r="AN406" s="9">
        <v>0</v>
      </c>
      <c r="AO406" s="9">
        <v>0</v>
      </c>
      <c r="AP406" s="9">
        <v>0</v>
      </c>
      <c r="AQ406" s="9">
        <v>0</v>
      </c>
      <c r="AR406" s="9">
        <v>10</v>
      </c>
      <c r="AS406" s="9">
        <v>4</v>
      </c>
      <c r="AT406" s="9">
        <v>0</v>
      </c>
      <c r="AU406" s="9">
        <v>8</v>
      </c>
      <c r="AV406" s="9">
        <v>15</v>
      </c>
      <c r="AW406" s="9">
        <v>10</v>
      </c>
      <c r="AX406" s="9">
        <v>0</v>
      </c>
      <c r="AY406" s="9">
        <v>1</v>
      </c>
      <c r="AZ406" s="9">
        <v>0</v>
      </c>
    </row>
    <row r="407" spans="2:52">
      <c r="B407" t="str">
        <f t="shared" si="30"/>
        <v>Jun</v>
      </c>
      <c r="C407" s="43">
        <f t="shared" si="31"/>
        <v>46187</v>
      </c>
      <c r="D407" s="44">
        <f t="shared" si="32"/>
        <v>46183</v>
      </c>
      <c r="E407" s="9" t="s">
        <v>41</v>
      </c>
      <c r="F407">
        <f t="shared" si="33"/>
        <v>0</v>
      </c>
      <c r="G407">
        <f t="shared" si="34"/>
        <v>0</v>
      </c>
      <c r="AJ407" s="40">
        <v>46183</v>
      </c>
      <c r="AK407" s="9" t="s">
        <v>41</v>
      </c>
      <c r="AL407" s="9" t="s">
        <v>41</v>
      </c>
      <c r="AM407" s="9"/>
      <c r="AN407" s="9">
        <v>0</v>
      </c>
      <c r="AO407" s="9">
        <v>37</v>
      </c>
      <c r="AP407" s="9">
        <v>4</v>
      </c>
      <c r="AQ407" s="9">
        <v>8</v>
      </c>
      <c r="AR407" s="9">
        <v>9</v>
      </c>
      <c r="AS407" s="9">
        <v>0</v>
      </c>
      <c r="AT407" s="9">
        <v>5</v>
      </c>
      <c r="AU407" s="9">
        <v>62</v>
      </c>
      <c r="AV407" s="9">
        <v>65</v>
      </c>
      <c r="AW407" s="9">
        <v>0</v>
      </c>
      <c r="AX407" s="9">
        <v>0</v>
      </c>
      <c r="AY407" s="9">
        <v>4</v>
      </c>
      <c r="AZ407" s="9">
        <v>0</v>
      </c>
    </row>
    <row r="408" spans="2:52">
      <c r="B408" t="str">
        <f t="shared" si="30"/>
        <v>Jun</v>
      </c>
      <c r="C408" s="43">
        <f t="shared" si="31"/>
        <v>46187</v>
      </c>
      <c r="D408" s="44">
        <f t="shared" si="32"/>
        <v>46183</v>
      </c>
      <c r="E408" s="9" t="s">
        <v>45</v>
      </c>
      <c r="F408">
        <f t="shared" si="33"/>
        <v>0</v>
      </c>
      <c r="G408">
        <f t="shared" si="34"/>
        <v>9</v>
      </c>
      <c r="AJ408" s="40">
        <v>46183</v>
      </c>
      <c r="AK408" s="9" t="s">
        <v>202</v>
      </c>
      <c r="AL408" s="9" t="s">
        <v>45</v>
      </c>
      <c r="AM408" s="9"/>
      <c r="AN408" s="9">
        <v>34</v>
      </c>
      <c r="AO408" s="9">
        <v>39</v>
      </c>
      <c r="AP408" s="9">
        <v>35</v>
      </c>
      <c r="AQ408" s="9">
        <v>88</v>
      </c>
      <c r="AR408" s="9">
        <v>0</v>
      </c>
      <c r="AS408" s="9">
        <v>0</v>
      </c>
      <c r="AT408" s="9">
        <v>1</v>
      </c>
      <c r="AU408" s="9">
        <v>0</v>
      </c>
      <c r="AV408" s="9">
        <v>0</v>
      </c>
      <c r="AW408" s="9">
        <v>0</v>
      </c>
      <c r="AX408" s="9">
        <v>11</v>
      </c>
      <c r="AY408" s="9">
        <v>13</v>
      </c>
      <c r="AZ408" s="9">
        <v>9</v>
      </c>
    </row>
    <row r="409" spans="2:52">
      <c r="B409" t="str">
        <f t="shared" si="30"/>
        <v>Jun</v>
      </c>
      <c r="C409" s="43">
        <f t="shared" si="31"/>
        <v>46187</v>
      </c>
      <c r="D409" s="44">
        <f t="shared" si="32"/>
        <v>46183</v>
      </c>
      <c r="E409" s="9" t="s">
        <v>46</v>
      </c>
      <c r="F409">
        <f t="shared" si="33"/>
        <v>0</v>
      </c>
      <c r="G409">
        <f t="shared" si="34"/>
        <v>200</v>
      </c>
      <c r="AJ409" s="40">
        <v>46183</v>
      </c>
      <c r="AK409" s="9" t="s">
        <v>202</v>
      </c>
      <c r="AL409" s="9" t="s">
        <v>46</v>
      </c>
      <c r="AM409" s="9"/>
      <c r="AN409" s="9">
        <v>0</v>
      </c>
      <c r="AO409" s="9">
        <v>121</v>
      </c>
      <c r="AP409" s="9">
        <v>123</v>
      </c>
      <c r="AQ409" s="9">
        <v>240</v>
      </c>
      <c r="AR409" s="9">
        <v>240</v>
      </c>
      <c r="AS409" s="9">
        <v>237</v>
      </c>
      <c r="AT409" s="9">
        <v>240</v>
      </c>
      <c r="AU409" s="9">
        <v>240</v>
      </c>
      <c r="AV409" s="9">
        <v>240</v>
      </c>
      <c r="AW409" s="9">
        <v>205</v>
      </c>
      <c r="AX409" s="9">
        <v>204</v>
      </c>
      <c r="AY409" s="9">
        <v>208</v>
      </c>
      <c r="AZ409" s="9">
        <v>206</v>
      </c>
    </row>
    <row r="410" spans="2:52">
      <c r="B410" t="str">
        <f t="shared" si="30"/>
        <v>Jun</v>
      </c>
      <c r="C410" s="43">
        <f t="shared" si="31"/>
        <v>46187</v>
      </c>
      <c r="D410" s="44">
        <f t="shared" si="32"/>
        <v>46183</v>
      </c>
      <c r="E410" s="9" t="s">
        <v>47</v>
      </c>
      <c r="F410">
        <f t="shared" si="33"/>
        <v>0</v>
      </c>
      <c r="G410">
        <f t="shared" si="34"/>
        <v>81</v>
      </c>
      <c r="AJ410" s="40">
        <v>46183</v>
      </c>
      <c r="AK410" s="9" t="s">
        <v>202</v>
      </c>
      <c r="AL410" s="9" t="s">
        <v>47</v>
      </c>
      <c r="AM410" s="9"/>
      <c r="AN410" s="9">
        <v>0</v>
      </c>
      <c r="AO410" s="9">
        <v>5</v>
      </c>
      <c r="AP410" s="9">
        <v>6</v>
      </c>
      <c r="AQ410" s="9">
        <v>2</v>
      </c>
      <c r="AR410" s="9">
        <v>5</v>
      </c>
      <c r="AS410" s="9">
        <v>2</v>
      </c>
      <c r="AT410" s="9">
        <v>0</v>
      </c>
      <c r="AU410" s="9">
        <v>1</v>
      </c>
      <c r="AV410" s="9">
        <v>45</v>
      </c>
      <c r="AW410" s="9">
        <v>46</v>
      </c>
      <c r="AX410" s="9">
        <v>48</v>
      </c>
      <c r="AY410" s="9">
        <v>48</v>
      </c>
      <c r="AZ410" s="9">
        <v>91</v>
      </c>
    </row>
    <row r="411" spans="2:52">
      <c r="B411" t="str">
        <f t="shared" si="30"/>
        <v>Jun</v>
      </c>
      <c r="C411" s="43">
        <f t="shared" si="31"/>
        <v>46187</v>
      </c>
      <c r="D411" s="44">
        <f t="shared" si="32"/>
        <v>46183</v>
      </c>
      <c r="E411" s="9" t="s">
        <v>206</v>
      </c>
      <c r="F411">
        <f t="shared" si="33"/>
        <v>0</v>
      </c>
      <c r="G411">
        <f t="shared" si="34"/>
        <v>160</v>
      </c>
      <c r="AJ411" s="40">
        <v>46183</v>
      </c>
      <c r="AK411" s="9" t="s">
        <v>43</v>
      </c>
      <c r="AL411" s="9" t="s">
        <v>206</v>
      </c>
      <c r="AM411" s="9"/>
      <c r="AN411" s="9">
        <v>169</v>
      </c>
      <c r="AO411" s="9">
        <v>176</v>
      </c>
      <c r="AP411" s="9">
        <v>183</v>
      </c>
      <c r="AQ411" s="9">
        <v>175</v>
      </c>
      <c r="AR411" s="9">
        <v>180</v>
      </c>
      <c r="AS411" s="9">
        <v>190</v>
      </c>
      <c r="AT411" s="9">
        <v>183</v>
      </c>
      <c r="AU411" s="9">
        <v>175</v>
      </c>
      <c r="AV411" s="9">
        <v>178</v>
      </c>
      <c r="AW411" s="9">
        <v>176</v>
      </c>
      <c r="AX411" s="9">
        <v>183</v>
      </c>
      <c r="AY411" s="9">
        <v>192</v>
      </c>
      <c r="AZ411" s="9">
        <v>193</v>
      </c>
    </row>
    <row r="412" spans="2:52">
      <c r="B412" t="str">
        <f t="shared" si="30"/>
        <v>Jun</v>
      </c>
      <c r="C412" s="43">
        <f t="shared" si="31"/>
        <v>46187</v>
      </c>
      <c r="D412" s="44">
        <f t="shared" si="32"/>
        <v>46183</v>
      </c>
      <c r="E412" s="9" t="s">
        <v>207</v>
      </c>
      <c r="F412">
        <f t="shared" si="33"/>
        <v>0</v>
      </c>
      <c r="G412">
        <f t="shared" si="34"/>
        <v>-14</v>
      </c>
      <c r="AJ412" s="40">
        <v>46183</v>
      </c>
      <c r="AK412" s="9" t="s">
        <v>203</v>
      </c>
      <c r="AL412" s="9" t="s">
        <v>207</v>
      </c>
      <c r="AM412" s="9"/>
      <c r="AN412" s="9">
        <v>42</v>
      </c>
      <c r="AO412" s="9">
        <v>40</v>
      </c>
      <c r="AP412" s="9">
        <v>33</v>
      </c>
      <c r="AQ412" s="9">
        <v>34</v>
      </c>
      <c r="AR412" s="9">
        <v>27</v>
      </c>
      <c r="AS412" s="9">
        <v>33</v>
      </c>
      <c r="AT412" s="9">
        <v>5</v>
      </c>
      <c r="AU412" s="9">
        <v>3</v>
      </c>
      <c r="AV412" s="9">
        <v>4</v>
      </c>
      <c r="AW412" s="9">
        <v>8</v>
      </c>
      <c r="AX412" s="9">
        <v>14</v>
      </c>
      <c r="AY412" s="9">
        <v>148</v>
      </c>
      <c r="AZ412" s="9">
        <v>0</v>
      </c>
    </row>
    <row r="413" spans="2:52">
      <c r="B413" t="str">
        <f t="shared" si="30"/>
        <v>Jun</v>
      </c>
      <c r="C413" s="43">
        <f t="shared" si="31"/>
        <v>46187</v>
      </c>
      <c r="D413" s="44">
        <f t="shared" si="32"/>
        <v>46183</v>
      </c>
      <c r="E413" s="9" t="s">
        <v>42</v>
      </c>
      <c r="F413">
        <f t="shared" si="33"/>
        <v>0</v>
      </c>
      <c r="G413">
        <f t="shared" si="34"/>
        <v>27</v>
      </c>
      <c r="AJ413" s="40">
        <v>46183</v>
      </c>
      <c r="AK413" s="9" t="s">
        <v>42</v>
      </c>
      <c r="AL413" s="9" t="s">
        <v>42</v>
      </c>
      <c r="AM413" s="9"/>
      <c r="AN413" s="9">
        <v>26</v>
      </c>
      <c r="AO413" s="9">
        <v>30</v>
      </c>
      <c r="AP413" s="9">
        <v>53</v>
      </c>
      <c r="AQ413" s="9">
        <v>59</v>
      </c>
      <c r="AR413" s="9">
        <v>55</v>
      </c>
      <c r="AS413" s="9">
        <v>58</v>
      </c>
      <c r="AT413" s="9">
        <v>53</v>
      </c>
      <c r="AU413" s="9">
        <v>112</v>
      </c>
      <c r="AV413" s="9">
        <v>116</v>
      </c>
      <c r="AW413" s="9">
        <v>113</v>
      </c>
      <c r="AX413" s="9">
        <v>119</v>
      </c>
      <c r="AY413" s="9">
        <v>113</v>
      </c>
      <c r="AZ413" s="9">
        <v>137</v>
      </c>
    </row>
    <row r="414" spans="2:52">
      <c r="B414" t="str">
        <f t="shared" si="30"/>
        <v>Jun</v>
      </c>
      <c r="C414" s="43">
        <f t="shared" si="31"/>
        <v>46187</v>
      </c>
      <c r="D414" s="44">
        <f t="shared" si="32"/>
        <v>46184</v>
      </c>
      <c r="E414" s="9" t="s">
        <v>31</v>
      </c>
      <c r="F414">
        <f t="shared" si="33"/>
        <v>0</v>
      </c>
      <c r="G414">
        <f t="shared" si="34"/>
        <v>-50</v>
      </c>
      <c r="AJ414" s="40">
        <v>46184</v>
      </c>
      <c r="AK414" s="9" t="s">
        <v>204</v>
      </c>
      <c r="AL414" s="9" t="s">
        <v>31</v>
      </c>
      <c r="AM414" s="9"/>
      <c r="AN414" s="9">
        <v>86</v>
      </c>
      <c r="AO414" s="9">
        <v>95</v>
      </c>
      <c r="AP414" s="9">
        <v>92</v>
      </c>
      <c r="AQ414" s="9">
        <v>0</v>
      </c>
      <c r="AR414" s="9">
        <v>0</v>
      </c>
      <c r="AS414" s="9">
        <v>17</v>
      </c>
      <c r="AT414" s="9">
        <v>7</v>
      </c>
      <c r="AU414" s="9">
        <v>10</v>
      </c>
      <c r="AV414" s="9">
        <v>0</v>
      </c>
      <c r="AW414" s="9">
        <v>2</v>
      </c>
      <c r="AX414" s="9">
        <v>0</v>
      </c>
      <c r="AY414" s="9">
        <v>6</v>
      </c>
      <c r="AZ414" s="9">
        <v>11</v>
      </c>
    </row>
    <row r="415" spans="2:52">
      <c r="B415" t="str">
        <f t="shared" si="30"/>
        <v>Jun</v>
      </c>
      <c r="C415" s="43">
        <f t="shared" si="31"/>
        <v>46187</v>
      </c>
      <c r="D415" s="44">
        <f t="shared" si="32"/>
        <v>46184</v>
      </c>
      <c r="E415" s="9" t="s">
        <v>39</v>
      </c>
      <c r="F415">
        <f t="shared" si="33"/>
        <v>0</v>
      </c>
      <c r="G415">
        <f t="shared" si="34"/>
        <v>45</v>
      </c>
      <c r="AJ415" s="40">
        <v>46184</v>
      </c>
      <c r="AK415" s="9" t="s">
        <v>205</v>
      </c>
      <c r="AL415" s="9" t="s">
        <v>39</v>
      </c>
      <c r="AM415" s="9"/>
      <c r="AN415" s="9">
        <v>107</v>
      </c>
      <c r="AO415" s="9">
        <v>120</v>
      </c>
      <c r="AP415" s="9">
        <v>136</v>
      </c>
      <c r="AQ415" s="9">
        <v>0</v>
      </c>
      <c r="AR415" s="9">
        <v>0</v>
      </c>
      <c r="AS415" s="9">
        <v>0</v>
      </c>
      <c r="AT415" s="9">
        <v>33</v>
      </c>
      <c r="AU415" s="9">
        <v>42</v>
      </c>
      <c r="AV415" s="9">
        <v>55</v>
      </c>
      <c r="AW415" s="9">
        <v>0</v>
      </c>
      <c r="AX415" s="9">
        <v>9</v>
      </c>
      <c r="AY415" s="9">
        <v>0</v>
      </c>
      <c r="AZ415" s="9">
        <v>60</v>
      </c>
    </row>
    <row r="416" spans="2:52">
      <c r="B416" t="str">
        <f t="shared" si="30"/>
        <v>Jun</v>
      </c>
      <c r="C416" s="43">
        <f t="shared" si="31"/>
        <v>46187</v>
      </c>
      <c r="D416" s="44">
        <f t="shared" si="32"/>
        <v>46184</v>
      </c>
      <c r="E416" s="9" t="s">
        <v>40</v>
      </c>
      <c r="F416">
        <f t="shared" si="33"/>
        <v>0</v>
      </c>
      <c r="G416">
        <f t="shared" si="34"/>
        <v>5</v>
      </c>
      <c r="AJ416" s="40">
        <v>46184</v>
      </c>
      <c r="AK416" s="9" t="s">
        <v>205</v>
      </c>
      <c r="AL416" s="9" t="s">
        <v>40</v>
      </c>
      <c r="AM416" s="9"/>
      <c r="AN416" s="9">
        <v>59</v>
      </c>
      <c r="AO416" s="9">
        <v>52</v>
      </c>
      <c r="AP416" s="9">
        <v>59</v>
      </c>
      <c r="AQ416" s="9">
        <v>63</v>
      </c>
      <c r="AR416" s="9">
        <v>63</v>
      </c>
      <c r="AS416" s="9">
        <v>53</v>
      </c>
      <c r="AT416" s="9">
        <v>45</v>
      </c>
      <c r="AU416" s="9">
        <v>57</v>
      </c>
      <c r="AV416" s="9">
        <v>0</v>
      </c>
      <c r="AW416" s="9">
        <v>0</v>
      </c>
      <c r="AX416" s="9">
        <v>0</v>
      </c>
      <c r="AY416" s="9">
        <v>13</v>
      </c>
      <c r="AZ416" s="9">
        <v>5</v>
      </c>
    </row>
    <row r="417" spans="2:52">
      <c r="B417" t="str">
        <f t="shared" si="30"/>
        <v>Jun</v>
      </c>
      <c r="C417" s="43">
        <f t="shared" si="31"/>
        <v>46187</v>
      </c>
      <c r="D417" s="44">
        <f t="shared" si="32"/>
        <v>46184</v>
      </c>
      <c r="E417" s="9" t="s">
        <v>41</v>
      </c>
      <c r="F417">
        <f t="shared" si="33"/>
        <v>0</v>
      </c>
      <c r="G417">
        <f t="shared" si="34"/>
        <v>1</v>
      </c>
      <c r="AJ417" s="40">
        <v>46184</v>
      </c>
      <c r="AK417" s="9" t="s">
        <v>41</v>
      </c>
      <c r="AL417" s="9" t="s">
        <v>41</v>
      </c>
      <c r="AM417" s="9"/>
      <c r="AN417" s="9">
        <v>97</v>
      </c>
      <c r="AO417" s="9">
        <v>99</v>
      </c>
      <c r="AP417" s="9">
        <v>97</v>
      </c>
      <c r="AQ417" s="9">
        <v>99</v>
      </c>
      <c r="AR417" s="9">
        <v>0</v>
      </c>
      <c r="AS417" s="9">
        <v>1</v>
      </c>
      <c r="AT417" s="9">
        <v>0</v>
      </c>
      <c r="AU417" s="9">
        <v>0</v>
      </c>
      <c r="AV417" s="9">
        <v>13</v>
      </c>
      <c r="AW417" s="9">
        <v>11</v>
      </c>
      <c r="AX417" s="9">
        <v>11</v>
      </c>
      <c r="AY417" s="9">
        <v>0</v>
      </c>
      <c r="AZ417" s="9">
        <v>1</v>
      </c>
    </row>
    <row r="418" spans="2:52">
      <c r="B418" t="str">
        <f t="shared" si="30"/>
        <v>Jun</v>
      </c>
      <c r="C418" s="43">
        <f t="shared" si="31"/>
        <v>46187</v>
      </c>
      <c r="D418" s="44">
        <f t="shared" si="32"/>
        <v>46184</v>
      </c>
      <c r="E418" s="9" t="s">
        <v>45</v>
      </c>
      <c r="F418">
        <f t="shared" si="33"/>
        <v>0</v>
      </c>
      <c r="G418">
        <f t="shared" si="34"/>
        <v>184</v>
      </c>
      <c r="AJ418" s="40">
        <v>46184</v>
      </c>
      <c r="AK418" s="9" t="s">
        <v>202</v>
      </c>
      <c r="AL418" s="9" t="s">
        <v>45</v>
      </c>
      <c r="AM418" s="9"/>
      <c r="AN418" s="9">
        <v>15</v>
      </c>
      <c r="AO418" s="9">
        <v>23</v>
      </c>
      <c r="AP418" s="9">
        <v>21</v>
      </c>
      <c r="AQ418" s="9">
        <v>8</v>
      </c>
      <c r="AR418" s="9">
        <v>12</v>
      </c>
      <c r="AS418" s="9">
        <v>20</v>
      </c>
      <c r="AT418" s="9">
        <v>13</v>
      </c>
      <c r="AU418" s="9">
        <v>19</v>
      </c>
      <c r="AV418" s="9">
        <v>17</v>
      </c>
      <c r="AW418" s="9">
        <v>17</v>
      </c>
      <c r="AX418" s="9">
        <v>181</v>
      </c>
      <c r="AY418" s="9">
        <v>185</v>
      </c>
      <c r="AZ418" s="9">
        <v>193</v>
      </c>
    </row>
    <row r="419" spans="2:52">
      <c r="B419" t="str">
        <f t="shared" si="30"/>
        <v>Jun</v>
      </c>
      <c r="C419" s="43">
        <f t="shared" si="31"/>
        <v>46187</v>
      </c>
      <c r="D419" s="44">
        <f t="shared" si="32"/>
        <v>46184</v>
      </c>
      <c r="E419" s="9" t="s">
        <v>46</v>
      </c>
      <c r="F419">
        <f t="shared" si="33"/>
        <v>0</v>
      </c>
      <c r="G419">
        <f t="shared" si="34"/>
        <v>-193</v>
      </c>
      <c r="AJ419" s="40">
        <v>46184</v>
      </c>
      <c r="AK419" s="9" t="s">
        <v>202</v>
      </c>
      <c r="AL419" s="9" t="s">
        <v>46</v>
      </c>
      <c r="AM419" s="9"/>
      <c r="AN419" s="9">
        <v>26</v>
      </c>
      <c r="AO419" s="9">
        <v>28</v>
      </c>
      <c r="AP419" s="9">
        <v>32</v>
      </c>
      <c r="AQ419" s="9">
        <v>33</v>
      </c>
      <c r="AR419" s="9">
        <v>0</v>
      </c>
      <c r="AS419" s="9">
        <v>13</v>
      </c>
      <c r="AT419" s="9">
        <v>10</v>
      </c>
      <c r="AU419" s="9">
        <v>0</v>
      </c>
      <c r="AV419" s="9">
        <v>1</v>
      </c>
      <c r="AW419" s="9">
        <v>0</v>
      </c>
      <c r="AX419" s="9">
        <v>16</v>
      </c>
      <c r="AY419" s="9">
        <v>14</v>
      </c>
      <c r="AZ419" s="9">
        <v>13</v>
      </c>
    </row>
    <row r="420" spans="2:52">
      <c r="B420" t="str">
        <f t="shared" si="30"/>
        <v>Jun</v>
      </c>
      <c r="C420" s="43">
        <f t="shared" si="31"/>
        <v>46187</v>
      </c>
      <c r="D420" s="44">
        <f t="shared" si="32"/>
        <v>46184</v>
      </c>
      <c r="E420" s="9" t="s">
        <v>47</v>
      </c>
      <c r="F420">
        <f t="shared" si="33"/>
        <v>0</v>
      </c>
      <c r="G420">
        <f t="shared" si="34"/>
        <v>-85</v>
      </c>
      <c r="AJ420" s="40">
        <v>46184</v>
      </c>
      <c r="AK420" s="9" t="s">
        <v>202</v>
      </c>
      <c r="AL420" s="9" t="s">
        <v>47</v>
      </c>
      <c r="AM420" s="9"/>
      <c r="AN420" s="9">
        <v>12</v>
      </c>
      <c r="AO420" s="9">
        <v>9</v>
      </c>
      <c r="AP420" s="9">
        <v>7</v>
      </c>
      <c r="AQ420" s="9">
        <v>5</v>
      </c>
      <c r="AR420" s="9">
        <v>0</v>
      </c>
      <c r="AS420" s="9">
        <v>10</v>
      </c>
      <c r="AT420" s="9">
        <v>12</v>
      </c>
      <c r="AU420" s="9">
        <v>10</v>
      </c>
      <c r="AV420" s="9">
        <v>0</v>
      </c>
      <c r="AW420" s="9">
        <v>0</v>
      </c>
      <c r="AX420" s="9">
        <v>3</v>
      </c>
      <c r="AY420" s="9">
        <v>2</v>
      </c>
      <c r="AZ420" s="9">
        <v>6</v>
      </c>
    </row>
    <row r="421" spans="2:52">
      <c r="B421" t="str">
        <f t="shared" si="30"/>
        <v>Jun</v>
      </c>
      <c r="C421" s="43">
        <f t="shared" si="31"/>
        <v>46187</v>
      </c>
      <c r="D421" s="44">
        <f t="shared" si="32"/>
        <v>46184</v>
      </c>
      <c r="E421" s="9" t="s">
        <v>206</v>
      </c>
      <c r="F421">
        <f t="shared" si="33"/>
        <v>0</v>
      </c>
      <c r="G421">
        <f t="shared" si="34"/>
        <v>-193</v>
      </c>
      <c r="AJ421" s="40">
        <v>46184</v>
      </c>
      <c r="AK421" s="9" t="s">
        <v>43</v>
      </c>
      <c r="AL421" s="9" t="s">
        <v>206</v>
      </c>
      <c r="AM421" s="9"/>
      <c r="AN421" s="9">
        <v>37</v>
      </c>
      <c r="AO421" s="9">
        <v>44</v>
      </c>
      <c r="AP421" s="9">
        <v>0</v>
      </c>
      <c r="AQ421" s="9">
        <v>0</v>
      </c>
      <c r="AR421" s="9">
        <v>10</v>
      </c>
      <c r="AS421" s="9">
        <v>11</v>
      </c>
      <c r="AT421" s="9">
        <v>18</v>
      </c>
      <c r="AU421" s="9">
        <v>58</v>
      </c>
      <c r="AV421" s="9">
        <v>0</v>
      </c>
      <c r="AW421" s="9">
        <v>34</v>
      </c>
      <c r="AX421" s="9">
        <v>39</v>
      </c>
      <c r="AY421" s="9">
        <v>0</v>
      </c>
      <c r="AZ421" s="9">
        <v>0</v>
      </c>
    </row>
    <row r="422" spans="2:52">
      <c r="B422" t="str">
        <f t="shared" si="30"/>
        <v>Jun</v>
      </c>
      <c r="C422" s="43">
        <f t="shared" si="31"/>
        <v>46187</v>
      </c>
      <c r="D422" s="44">
        <f t="shared" si="32"/>
        <v>46184</v>
      </c>
      <c r="E422" s="9" t="s">
        <v>207</v>
      </c>
      <c r="F422">
        <f t="shared" si="33"/>
        <v>0</v>
      </c>
      <c r="G422">
        <f t="shared" si="34"/>
        <v>0</v>
      </c>
      <c r="AJ422" s="40">
        <v>46184</v>
      </c>
      <c r="AK422" s="9" t="s">
        <v>203</v>
      </c>
      <c r="AL422" s="9" t="s">
        <v>207</v>
      </c>
      <c r="AM422" s="9"/>
      <c r="AN422" s="9">
        <v>34</v>
      </c>
      <c r="AO422" s="9">
        <v>38</v>
      </c>
      <c r="AP422" s="9">
        <v>44</v>
      </c>
      <c r="AQ422" s="9">
        <v>11</v>
      </c>
      <c r="AR422" s="9">
        <v>0</v>
      </c>
      <c r="AS422" s="9">
        <v>23</v>
      </c>
      <c r="AT422" s="9">
        <v>22</v>
      </c>
      <c r="AU422" s="9">
        <v>24</v>
      </c>
      <c r="AV422" s="9">
        <v>25</v>
      </c>
      <c r="AW422" s="9">
        <v>0</v>
      </c>
      <c r="AX422" s="9">
        <v>26</v>
      </c>
      <c r="AY422" s="9">
        <v>20</v>
      </c>
      <c r="AZ422" s="9">
        <v>0</v>
      </c>
    </row>
    <row r="423" spans="2:52">
      <c r="B423" t="str">
        <f t="shared" si="30"/>
        <v>Jun</v>
      </c>
      <c r="C423" s="43">
        <f t="shared" si="31"/>
        <v>46187</v>
      </c>
      <c r="D423" s="44">
        <f t="shared" si="32"/>
        <v>46184</v>
      </c>
      <c r="E423" s="9" t="s">
        <v>42</v>
      </c>
      <c r="F423">
        <f t="shared" si="33"/>
        <v>0</v>
      </c>
      <c r="G423">
        <f t="shared" si="34"/>
        <v>-137</v>
      </c>
      <c r="AJ423" s="40">
        <v>46184</v>
      </c>
      <c r="AK423" s="9" t="s">
        <v>42</v>
      </c>
      <c r="AL423" s="9" t="s">
        <v>42</v>
      </c>
      <c r="AM423" s="9"/>
      <c r="AN423" s="9">
        <v>14</v>
      </c>
      <c r="AO423" s="9">
        <v>19</v>
      </c>
      <c r="AP423" s="9">
        <v>21</v>
      </c>
      <c r="AQ423" s="9">
        <v>18</v>
      </c>
      <c r="AR423" s="9">
        <v>0</v>
      </c>
      <c r="AS423" s="9">
        <v>0</v>
      </c>
      <c r="AT423" s="9">
        <v>0</v>
      </c>
      <c r="AU423" s="9">
        <v>12</v>
      </c>
      <c r="AV423" s="9">
        <v>9</v>
      </c>
      <c r="AW423" s="9">
        <v>9</v>
      </c>
      <c r="AX423" s="9">
        <v>5</v>
      </c>
      <c r="AY423" s="9">
        <v>6</v>
      </c>
      <c r="AZ423" s="9">
        <v>0</v>
      </c>
    </row>
    <row r="424" spans="2:52">
      <c r="B424" t="str">
        <f t="shared" si="30"/>
        <v>Jun</v>
      </c>
      <c r="C424" s="43">
        <f t="shared" si="31"/>
        <v>46187</v>
      </c>
      <c r="D424" s="44">
        <f t="shared" si="32"/>
        <v>46185</v>
      </c>
      <c r="E424" s="9" t="s">
        <v>31</v>
      </c>
      <c r="F424">
        <f t="shared" si="33"/>
        <v>0</v>
      </c>
      <c r="G424">
        <f t="shared" si="34"/>
        <v>199</v>
      </c>
      <c r="AJ424" s="40">
        <v>46185</v>
      </c>
      <c r="AK424" s="9" t="s">
        <v>204</v>
      </c>
      <c r="AL424" s="9" t="s">
        <v>31</v>
      </c>
      <c r="AM424" s="9"/>
      <c r="AN424" s="9">
        <v>54</v>
      </c>
      <c r="AO424" s="9">
        <v>65</v>
      </c>
      <c r="AP424" s="9">
        <v>59</v>
      </c>
      <c r="AQ424" s="9">
        <v>42</v>
      </c>
      <c r="AR424" s="9">
        <v>93</v>
      </c>
      <c r="AS424" s="9">
        <v>91</v>
      </c>
      <c r="AT424" s="9">
        <v>101</v>
      </c>
      <c r="AU424" s="9">
        <v>99</v>
      </c>
      <c r="AV424" s="9">
        <v>177</v>
      </c>
      <c r="AW424" s="9">
        <v>177</v>
      </c>
      <c r="AX424" s="9">
        <v>185</v>
      </c>
      <c r="AY424" s="9">
        <v>192</v>
      </c>
      <c r="AZ424" s="9">
        <v>210</v>
      </c>
    </row>
    <row r="425" spans="2:52">
      <c r="B425" t="str">
        <f t="shared" si="30"/>
        <v>Jun</v>
      </c>
      <c r="C425" s="43">
        <f t="shared" si="31"/>
        <v>46187</v>
      </c>
      <c r="D425" s="44">
        <f t="shared" si="32"/>
        <v>46185</v>
      </c>
      <c r="E425" s="9" t="s">
        <v>39</v>
      </c>
      <c r="F425">
        <f t="shared" si="33"/>
        <v>0</v>
      </c>
      <c r="G425">
        <f t="shared" si="34"/>
        <v>-60</v>
      </c>
      <c r="AJ425" s="40">
        <v>46185</v>
      </c>
      <c r="AK425" s="9" t="s">
        <v>205</v>
      </c>
      <c r="AL425" s="9" t="s">
        <v>39</v>
      </c>
      <c r="AM425" s="9"/>
      <c r="AN425" s="9">
        <v>117</v>
      </c>
      <c r="AO425" s="9">
        <v>106</v>
      </c>
      <c r="AP425" s="9">
        <v>0</v>
      </c>
      <c r="AQ425" s="9">
        <v>0</v>
      </c>
      <c r="AR425" s="9">
        <v>0</v>
      </c>
      <c r="AS425" s="9">
        <v>0</v>
      </c>
      <c r="AT425" s="9">
        <v>14</v>
      </c>
      <c r="AU425" s="9">
        <v>3</v>
      </c>
      <c r="AV425" s="9">
        <v>0</v>
      </c>
      <c r="AW425" s="9">
        <v>0</v>
      </c>
      <c r="AX425" s="9">
        <v>0</v>
      </c>
      <c r="AY425" s="9">
        <v>8</v>
      </c>
      <c r="AZ425" s="9">
        <v>0</v>
      </c>
    </row>
    <row r="426" spans="2:52">
      <c r="B426" t="str">
        <f t="shared" si="30"/>
        <v>Jun</v>
      </c>
      <c r="C426" s="43">
        <f t="shared" si="31"/>
        <v>46187</v>
      </c>
      <c r="D426" s="44">
        <f t="shared" si="32"/>
        <v>46185</v>
      </c>
      <c r="E426" s="9" t="s">
        <v>40</v>
      </c>
      <c r="F426">
        <f t="shared" si="33"/>
        <v>0</v>
      </c>
      <c r="G426">
        <f t="shared" si="34"/>
        <v>-5</v>
      </c>
      <c r="AJ426" s="40">
        <v>46185</v>
      </c>
      <c r="AK426" s="9" t="s">
        <v>205</v>
      </c>
      <c r="AL426" s="9" t="s">
        <v>40</v>
      </c>
      <c r="AM426" s="9"/>
      <c r="AN426" s="9">
        <v>75</v>
      </c>
      <c r="AO426" s="9">
        <v>68</v>
      </c>
      <c r="AP426" s="9">
        <v>80</v>
      </c>
      <c r="AQ426" s="9">
        <v>34</v>
      </c>
      <c r="AR426" s="9">
        <v>40</v>
      </c>
      <c r="AS426" s="9">
        <v>37</v>
      </c>
      <c r="AT426" s="9">
        <v>45</v>
      </c>
      <c r="AU426" s="9">
        <v>0</v>
      </c>
      <c r="AV426" s="9">
        <v>6</v>
      </c>
      <c r="AW426" s="9">
        <v>0</v>
      </c>
      <c r="AX426" s="9">
        <v>22</v>
      </c>
      <c r="AY426" s="9">
        <v>26</v>
      </c>
      <c r="AZ426" s="9">
        <v>0</v>
      </c>
    </row>
    <row r="427" spans="2:52">
      <c r="B427" t="str">
        <f t="shared" si="30"/>
        <v>Jun</v>
      </c>
      <c r="C427" s="43">
        <f t="shared" si="31"/>
        <v>46187</v>
      </c>
      <c r="D427" s="44">
        <f t="shared" si="32"/>
        <v>46185</v>
      </c>
      <c r="E427" s="9" t="s">
        <v>41</v>
      </c>
      <c r="F427">
        <f t="shared" si="33"/>
        <v>0</v>
      </c>
      <c r="G427">
        <f t="shared" si="34"/>
        <v>-1</v>
      </c>
      <c r="AJ427" s="40">
        <v>46185</v>
      </c>
      <c r="AK427" s="9" t="s">
        <v>41</v>
      </c>
      <c r="AL427" s="9" t="s">
        <v>41</v>
      </c>
      <c r="AM427" s="9"/>
      <c r="AN427" s="9">
        <v>4</v>
      </c>
      <c r="AO427" s="9">
        <v>1</v>
      </c>
      <c r="AP427" s="9">
        <v>1</v>
      </c>
      <c r="AQ427" s="9">
        <v>1</v>
      </c>
      <c r="AR427" s="9">
        <v>0</v>
      </c>
      <c r="AS427" s="9">
        <v>0</v>
      </c>
      <c r="AT427" s="9">
        <v>15</v>
      </c>
      <c r="AU427" s="9">
        <v>17</v>
      </c>
      <c r="AV427" s="9">
        <v>50</v>
      </c>
      <c r="AW427" s="9">
        <v>49</v>
      </c>
      <c r="AX427" s="9">
        <v>49</v>
      </c>
      <c r="AY427" s="9">
        <v>0</v>
      </c>
      <c r="AZ427" s="9">
        <v>0</v>
      </c>
    </row>
    <row r="428" spans="2:52">
      <c r="B428" t="str">
        <f t="shared" si="30"/>
        <v>Jun</v>
      </c>
      <c r="C428" s="43">
        <f t="shared" si="31"/>
        <v>46187</v>
      </c>
      <c r="D428" s="44">
        <f t="shared" si="32"/>
        <v>46185</v>
      </c>
      <c r="E428" s="9" t="s">
        <v>45</v>
      </c>
      <c r="F428">
        <f t="shared" si="33"/>
        <v>0</v>
      </c>
      <c r="G428">
        <f t="shared" si="34"/>
        <v>-171</v>
      </c>
      <c r="AJ428" s="40">
        <v>46185</v>
      </c>
      <c r="AK428" s="9" t="s">
        <v>202</v>
      </c>
      <c r="AL428" s="9" t="s">
        <v>45</v>
      </c>
      <c r="AM428" s="9"/>
      <c r="AN428" s="9">
        <v>47</v>
      </c>
      <c r="AO428" s="9">
        <v>68</v>
      </c>
      <c r="AP428" s="9">
        <v>73</v>
      </c>
      <c r="AQ428" s="9">
        <v>74</v>
      </c>
      <c r="AR428" s="9">
        <v>70</v>
      </c>
      <c r="AS428" s="9">
        <v>76</v>
      </c>
      <c r="AT428" s="9">
        <v>118</v>
      </c>
      <c r="AU428" s="9">
        <v>122</v>
      </c>
      <c r="AV428" s="9">
        <v>173</v>
      </c>
      <c r="AW428" s="9">
        <v>166</v>
      </c>
      <c r="AX428" s="9">
        <v>0</v>
      </c>
      <c r="AY428" s="9">
        <v>19</v>
      </c>
      <c r="AZ428" s="9">
        <v>22</v>
      </c>
    </row>
    <row r="429" spans="2:52">
      <c r="B429" t="str">
        <f t="shared" si="30"/>
        <v>Jun</v>
      </c>
      <c r="C429" s="43">
        <f t="shared" si="31"/>
        <v>46187</v>
      </c>
      <c r="D429" s="44">
        <f t="shared" si="32"/>
        <v>46185</v>
      </c>
      <c r="E429" s="9" t="s">
        <v>46</v>
      </c>
      <c r="F429">
        <f t="shared" si="33"/>
        <v>0</v>
      </c>
      <c r="G429">
        <f t="shared" si="34"/>
        <v>13</v>
      </c>
      <c r="AJ429" s="40">
        <v>46185</v>
      </c>
      <c r="AK429" s="9" t="s">
        <v>202</v>
      </c>
      <c r="AL429" s="9" t="s">
        <v>46</v>
      </c>
      <c r="AM429" s="9"/>
      <c r="AN429" s="9">
        <v>40</v>
      </c>
      <c r="AO429" s="9">
        <v>44</v>
      </c>
      <c r="AP429" s="9">
        <v>40</v>
      </c>
      <c r="AQ429" s="9">
        <v>39</v>
      </c>
      <c r="AR429" s="9">
        <v>35</v>
      </c>
      <c r="AS429" s="9">
        <v>38</v>
      </c>
      <c r="AT429" s="9">
        <v>40</v>
      </c>
      <c r="AU429" s="9">
        <v>38</v>
      </c>
      <c r="AV429" s="9">
        <v>0</v>
      </c>
      <c r="AW429" s="9">
        <v>0</v>
      </c>
      <c r="AX429" s="9">
        <v>2</v>
      </c>
      <c r="AY429" s="9">
        <v>27</v>
      </c>
      <c r="AZ429" s="9">
        <v>26</v>
      </c>
    </row>
    <row r="430" spans="2:52">
      <c r="B430" t="str">
        <f t="shared" si="30"/>
        <v>Jun</v>
      </c>
      <c r="C430" s="43">
        <f t="shared" si="31"/>
        <v>46187</v>
      </c>
      <c r="D430" s="44">
        <f t="shared" si="32"/>
        <v>46185</v>
      </c>
      <c r="E430" s="9" t="s">
        <v>47</v>
      </c>
      <c r="F430">
        <f t="shared" si="33"/>
        <v>0</v>
      </c>
      <c r="G430">
        <f t="shared" si="34"/>
        <v>21</v>
      </c>
      <c r="AJ430" s="40">
        <v>46185</v>
      </c>
      <c r="AK430" s="9" t="s">
        <v>202</v>
      </c>
      <c r="AL430" s="9" t="s">
        <v>47</v>
      </c>
      <c r="AM430" s="9"/>
      <c r="AN430" s="9">
        <v>7</v>
      </c>
      <c r="AO430" s="9">
        <v>0</v>
      </c>
      <c r="AP430" s="9">
        <v>1</v>
      </c>
      <c r="AQ430" s="9">
        <v>2</v>
      </c>
      <c r="AR430" s="9">
        <v>4</v>
      </c>
      <c r="AS430" s="9">
        <v>0</v>
      </c>
      <c r="AT430" s="9">
        <v>14</v>
      </c>
      <c r="AU430" s="9">
        <v>13</v>
      </c>
      <c r="AV430" s="9">
        <v>14</v>
      </c>
      <c r="AW430" s="9">
        <v>15</v>
      </c>
      <c r="AX430" s="9">
        <v>18</v>
      </c>
      <c r="AY430" s="9">
        <v>22</v>
      </c>
      <c r="AZ430" s="9">
        <v>27</v>
      </c>
    </row>
    <row r="431" spans="2:52">
      <c r="B431" t="str">
        <f t="shared" si="30"/>
        <v>Jun</v>
      </c>
      <c r="C431" s="43">
        <f t="shared" si="31"/>
        <v>46187</v>
      </c>
      <c r="D431" s="44">
        <f t="shared" si="32"/>
        <v>46185</v>
      </c>
      <c r="E431" s="9" t="s">
        <v>206</v>
      </c>
      <c r="F431">
        <f t="shared" si="33"/>
        <v>0</v>
      </c>
      <c r="G431">
        <f t="shared" si="34"/>
        <v>30</v>
      </c>
      <c r="AJ431" s="40">
        <v>46185</v>
      </c>
      <c r="AK431" s="9" t="s">
        <v>43</v>
      </c>
      <c r="AL431" s="9" t="s">
        <v>206</v>
      </c>
      <c r="AM431" s="9"/>
      <c r="AN431" s="9">
        <v>36</v>
      </c>
      <c r="AO431" s="9">
        <v>40</v>
      </c>
      <c r="AP431" s="9">
        <v>37</v>
      </c>
      <c r="AQ431" s="9">
        <v>0</v>
      </c>
      <c r="AR431" s="9">
        <v>2</v>
      </c>
      <c r="AS431" s="9">
        <v>4</v>
      </c>
      <c r="AT431" s="9">
        <v>7</v>
      </c>
      <c r="AU431" s="9">
        <v>27</v>
      </c>
      <c r="AV431" s="9">
        <v>35</v>
      </c>
      <c r="AW431" s="9">
        <v>42</v>
      </c>
      <c r="AX431" s="9">
        <v>35</v>
      </c>
      <c r="AY431" s="9">
        <v>32</v>
      </c>
      <c r="AZ431" s="9">
        <v>30</v>
      </c>
    </row>
    <row r="432" spans="2:52">
      <c r="B432" t="str">
        <f t="shared" si="30"/>
        <v>Jun</v>
      </c>
      <c r="C432" s="43">
        <f t="shared" si="31"/>
        <v>46187</v>
      </c>
      <c r="D432" s="44">
        <f t="shared" si="32"/>
        <v>46185</v>
      </c>
      <c r="E432" s="9" t="s">
        <v>207</v>
      </c>
      <c r="F432">
        <f t="shared" si="33"/>
        <v>0</v>
      </c>
      <c r="G432">
        <f t="shared" si="34"/>
        <v>96</v>
      </c>
      <c r="AJ432" s="40">
        <v>46185</v>
      </c>
      <c r="AK432" s="9" t="s">
        <v>203</v>
      </c>
      <c r="AL432" s="9" t="s">
        <v>207</v>
      </c>
      <c r="AM432" s="9"/>
      <c r="AN432" s="9">
        <v>20</v>
      </c>
      <c r="AO432" s="9">
        <v>15</v>
      </c>
      <c r="AP432" s="9">
        <v>13</v>
      </c>
      <c r="AQ432" s="9">
        <v>7</v>
      </c>
      <c r="AR432" s="9">
        <v>5</v>
      </c>
      <c r="AS432" s="9">
        <v>58</v>
      </c>
      <c r="AT432" s="9">
        <v>67</v>
      </c>
      <c r="AU432" s="9">
        <v>72</v>
      </c>
      <c r="AV432" s="9">
        <v>78</v>
      </c>
      <c r="AW432" s="9">
        <v>83</v>
      </c>
      <c r="AX432" s="9">
        <v>88</v>
      </c>
      <c r="AY432" s="9">
        <v>94</v>
      </c>
      <c r="AZ432" s="9">
        <v>96</v>
      </c>
    </row>
    <row r="433" spans="2:52">
      <c r="B433" t="str">
        <f t="shared" si="30"/>
        <v>Jun</v>
      </c>
      <c r="C433" s="43">
        <f t="shared" si="31"/>
        <v>46187</v>
      </c>
      <c r="D433" s="44">
        <f t="shared" si="32"/>
        <v>46185</v>
      </c>
      <c r="E433" s="9" t="s">
        <v>42</v>
      </c>
      <c r="F433">
        <f t="shared" si="33"/>
        <v>0</v>
      </c>
      <c r="G433">
        <f t="shared" si="34"/>
        <v>29</v>
      </c>
      <c r="AJ433" s="40">
        <v>46185</v>
      </c>
      <c r="AK433" s="9" t="s">
        <v>42</v>
      </c>
      <c r="AL433" s="9" t="s">
        <v>42</v>
      </c>
      <c r="AM433" s="9"/>
      <c r="AN433" s="9">
        <v>39</v>
      </c>
      <c r="AO433" s="9">
        <v>35</v>
      </c>
      <c r="AP433" s="9">
        <v>31</v>
      </c>
      <c r="AQ433" s="9">
        <v>0</v>
      </c>
      <c r="AR433" s="9">
        <v>3</v>
      </c>
      <c r="AS433" s="9">
        <v>5</v>
      </c>
      <c r="AT433" s="9">
        <v>11</v>
      </c>
      <c r="AU433" s="9">
        <v>13</v>
      </c>
      <c r="AV433" s="9">
        <v>16</v>
      </c>
      <c r="AW433" s="9">
        <v>10</v>
      </c>
      <c r="AX433" s="9">
        <v>26</v>
      </c>
      <c r="AY433" s="9">
        <v>25</v>
      </c>
      <c r="AZ433" s="9">
        <v>29</v>
      </c>
    </row>
    <row r="434" spans="2:52">
      <c r="B434" t="str">
        <f t="shared" si="30"/>
        <v>Jun</v>
      </c>
      <c r="C434" s="43">
        <f t="shared" si="31"/>
        <v>46187</v>
      </c>
      <c r="D434" s="44">
        <f t="shared" si="32"/>
        <v>46186</v>
      </c>
      <c r="E434" s="9" t="s">
        <v>31</v>
      </c>
      <c r="F434">
        <f t="shared" si="33"/>
        <v>0</v>
      </c>
      <c r="G434">
        <f t="shared" si="34"/>
        <v>-33</v>
      </c>
      <c r="AJ434" s="40">
        <v>46186</v>
      </c>
      <c r="AK434" s="9" t="s">
        <v>204</v>
      </c>
      <c r="AL434" s="9" t="s">
        <v>31</v>
      </c>
      <c r="AM434" s="9"/>
      <c r="AN434" s="9">
        <v>105</v>
      </c>
      <c r="AO434" s="9">
        <v>115</v>
      </c>
      <c r="AP434" s="9">
        <v>115</v>
      </c>
      <c r="AQ434" s="9">
        <v>106</v>
      </c>
      <c r="AR434" s="9">
        <v>98</v>
      </c>
      <c r="AS434" s="9">
        <v>100</v>
      </c>
      <c r="AT434" s="9">
        <v>108</v>
      </c>
      <c r="AU434" s="9">
        <v>114</v>
      </c>
      <c r="AV434" s="9">
        <v>128</v>
      </c>
      <c r="AW434" s="9">
        <v>138</v>
      </c>
      <c r="AX434" s="9">
        <v>155</v>
      </c>
      <c r="AY434" s="9">
        <v>189</v>
      </c>
      <c r="AZ434" s="9">
        <v>177</v>
      </c>
    </row>
    <row r="435" spans="2:52">
      <c r="B435" t="str">
        <f t="shared" si="30"/>
        <v>Jun</v>
      </c>
      <c r="C435" s="43">
        <f t="shared" si="31"/>
        <v>46187</v>
      </c>
      <c r="D435" s="44">
        <f t="shared" si="32"/>
        <v>46186</v>
      </c>
      <c r="E435" s="9" t="s">
        <v>39</v>
      </c>
      <c r="F435">
        <f t="shared" si="33"/>
        <v>0</v>
      </c>
      <c r="G435">
        <f t="shared" si="34"/>
        <v>36</v>
      </c>
      <c r="AJ435" s="40">
        <v>46186</v>
      </c>
      <c r="AK435" s="9" t="s">
        <v>205</v>
      </c>
      <c r="AL435" s="9" t="s">
        <v>39</v>
      </c>
      <c r="AM435" s="9"/>
      <c r="AN435" s="9">
        <v>83</v>
      </c>
      <c r="AO435" s="9">
        <v>0</v>
      </c>
      <c r="AP435" s="9">
        <v>29</v>
      </c>
      <c r="AQ435" s="9">
        <v>45</v>
      </c>
      <c r="AR435" s="9">
        <v>59</v>
      </c>
      <c r="AS435" s="9">
        <v>47</v>
      </c>
      <c r="AT435" s="9">
        <v>102</v>
      </c>
      <c r="AU435" s="9">
        <v>108</v>
      </c>
      <c r="AV435" s="9">
        <v>100</v>
      </c>
      <c r="AW435" s="9">
        <v>85</v>
      </c>
      <c r="AX435" s="9">
        <v>0</v>
      </c>
      <c r="AY435" s="9">
        <v>0</v>
      </c>
      <c r="AZ435" s="9">
        <v>36</v>
      </c>
    </row>
    <row r="436" spans="2:52">
      <c r="B436" t="str">
        <f t="shared" si="30"/>
        <v>Jun</v>
      </c>
      <c r="C436" s="43">
        <f t="shared" si="31"/>
        <v>46187</v>
      </c>
      <c r="D436" s="44">
        <f t="shared" si="32"/>
        <v>46186</v>
      </c>
      <c r="E436" s="9" t="s">
        <v>40</v>
      </c>
      <c r="F436">
        <f t="shared" si="33"/>
        <v>0</v>
      </c>
      <c r="G436">
        <f t="shared" si="34"/>
        <v>1</v>
      </c>
      <c r="AJ436" s="40">
        <v>46186</v>
      </c>
      <c r="AK436" s="9" t="s">
        <v>205</v>
      </c>
      <c r="AL436" s="9" t="s">
        <v>40</v>
      </c>
      <c r="AM436" s="9"/>
      <c r="AN436" s="9">
        <v>33</v>
      </c>
      <c r="AO436" s="9">
        <v>28</v>
      </c>
      <c r="AP436" s="9">
        <v>0</v>
      </c>
      <c r="AQ436" s="9">
        <v>0</v>
      </c>
      <c r="AR436" s="9">
        <v>38</v>
      </c>
      <c r="AS436" s="9">
        <v>45</v>
      </c>
      <c r="AT436" s="9">
        <v>39</v>
      </c>
      <c r="AU436" s="9">
        <v>0</v>
      </c>
      <c r="AV436" s="9">
        <v>30</v>
      </c>
      <c r="AW436" s="9">
        <v>20</v>
      </c>
      <c r="AX436" s="9">
        <v>13</v>
      </c>
      <c r="AY436" s="9">
        <v>6</v>
      </c>
      <c r="AZ436" s="9">
        <v>1</v>
      </c>
    </row>
    <row r="437" spans="2:52">
      <c r="B437" t="str">
        <f t="shared" si="30"/>
        <v>Jun</v>
      </c>
      <c r="C437" s="43">
        <f t="shared" si="31"/>
        <v>46187</v>
      </c>
      <c r="D437" s="44">
        <f t="shared" si="32"/>
        <v>46186</v>
      </c>
      <c r="E437" s="9" t="s">
        <v>41</v>
      </c>
      <c r="F437">
        <f t="shared" si="33"/>
        <v>0</v>
      </c>
      <c r="G437">
        <f t="shared" si="34"/>
        <v>5</v>
      </c>
      <c r="AJ437" s="40">
        <v>46186</v>
      </c>
      <c r="AK437" s="9" t="s">
        <v>41</v>
      </c>
      <c r="AL437" s="9" t="s">
        <v>41</v>
      </c>
      <c r="AM437" s="9"/>
      <c r="AN437" s="9">
        <v>33</v>
      </c>
      <c r="AO437" s="9">
        <v>34</v>
      </c>
      <c r="AP437" s="9">
        <v>37</v>
      </c>
      <c r="AQ437" s="9">
        <v>0</v>
      </c>
      <c r="AR437" s="9">
        <v>0</v>
      </c>
      <c r="AS437" s="9">
        <v>16</v>
      </c>
      <c r="AT437" s="9">
        <v>0</v>
      </c>
      <c r="AU437" s="9">
        <v>0</v>
      </c>
      <c r="AV437" s="9">
        <v>0</v>
      </c>
      <c r="AW437" s="9">
        <v>0</v>
      </c>
      <c r="AX437" s="9">
        <v>5</v>
      </c>
      <c r="AY437" s="9">
        <v>5</v>
      </c>
      <c r="AZ437" s="9">
        <v>5</v>
      </c>
    </row>
    <row r="438" spans="2:52">
      <c r="B438" t="str">
        <f t="shared" si="30"/>
        <v>Jun</v>
      </c>
      <c r="C438" s="43">
        <f t="shared" si="31"/>
        <v>46187</v>
      </c>
      <c r="D438" s="44">
        <f t="shared" si="32"/>
        <v>46186</v>
      </c>
      <c r="E438" s="9" t="s">
        <v>45</v>
      </c>
      <c r="F438">
        <f t="shared" si="33"/>
        <v>0</v>
      </c>
      <c r="G438">
        <f t="shared" si="34"/>
        <v>25</v>
      </c>
      <c r="AJ438" s="40">
        <v>46186</v>
      </c>
      <c r="AK438" s="9" t="s">
        <v>202</v>
      </c>
      <c r="AL438" s="9" t="s">
        <v>45</v>
      </c>
      <c r="AM438" s="9"/>
      <c r="AN438" s="9">
        <v>67</v>
      </c>
      <c r="AO438" s="9">
        <v>0</v>
      </c>
      <c r="AP438" s="9">
        <v>30</v>
      </c>
      <c r="AQ438" s="9">
        <v>37</v>
      </c>
      <c r="AR438" s="9">
        <v>0</v>
      </c>
      <c r="AS438" s="9">
        <v>0</v>
      </c>
      <c r="AT438" s="9">
        <v>7</v>
      </c>
      <c r="AU438" s="9">
        <v>9</v>
      </c>
      <c r="AV438" s="9">
        <v>12</v>
      </c>
      <c r="AW438" s="9">
        <v>12</v>
      </c>
      <c r="AX438" s="9">
        <v>19</v>
      </c>
      <c r="AY438" s="9">
        <v>12</v>
      </c>
      <c r="AZ438" s="9">
        <v>47</v>
      </c>
    </row>
    <row r="439" spans="2:52">
      <c r="B439" t="str">
        <f t="shared" si="30"/>
        <v>Jun</v>
      </c>
      <c r="C439" s="43">
        <f t="shared" si="31"/>
        <v>46187</v>
      </c>
      <c r="D439" s="44">
        <f t="shared" si="32"/>
        <v>46186</v>
      </c>
      <c r="E439" s="9" t="s">
        <v>46</v>
      </c>
      <c r="F439">
        <f t="shared" si="33"/>
        <v>0</v>
      </c>
      <c r="G439">
        <f t="shared" si="34"/>
        <v>-16</v>
      </c>
      <c r="AJ439" s="40">
        <v>46186</v>
      </c>
      <c r="AK439" s="9" t="s">
        <v>202</v>
      </c>
      <c r="AL439" s="9" t="s">
        <v>46</v>
      </c>
      <c r="AM439" s="9"/>
      <c r="AN439" s="9">
        <v>39</v>
      </c>
      <c r="AO439" s="9">
        <v>42</v>
      </c>
      <c r="AP439" s="9">
        <v>62</v>
      </c>
      <c r="AQ439" s="9">
        <v>0</v>
      </c>
      <c r="AR439" s="9">
        <v>9</v>
      </c>
      <c r="AS439" s="9">
        <v>14</v>
      </c>
      <c r="AT439" s="9">
        <v>12</v>
      </c>
      <c r="AU439" s="9">
        <v>87</v>
      </c>
      <c r="AV439" s="9">
        <v>0</v>
      </c>
      <c r="AW439" s="9">
        <v>0</v>
      </c>
      <c r="AX439" s="9">
        <v>10</v>
      </c>
      <c r="AY439" s="9">
        <v>7</v>
      </c>
      <c r="AZ439" s="9">
        <v>10</v>
      </c>
    </row>
    <row r="440" spans="2:52">
      <c r="B440" t="str">
        <f t="shared" si="30"/>
        <v>Jun</v>
      </c>
      <c r="C440" s="43">
        <f t="shared" si="31"/>
        <v>46187</v>
      </c>
      <c r="D440" s="44">
        <f t="shared" si="32"/>
        <v>46186</v>
      </c>
      <c r="E440" s="9" t="s">
        <v>47</v>
      </c>
      <c r="F440">
        <f t="shared" si="33"/>
        <v>0</v>
      </c>
      <c r="G440">
        <f t="shared" si="34"/>
        <v>31</v>
      </c>
      <c r="AJ440" s="40">
        <v>46186</v>
      </c>
      <c r="AK440" s="9" t="s">
        <v>202</v>
      </c>
      <c r="AL440" s="9" t="s">
        <v>47</v>
      </c>
      <c r="AM440" s="9"/>
      <c r="AN440" s="9">
        <v>10</v>
      </c>
      <c r="AO440" s="9">
        <v>12</v>
      </c>
      <c r="AP440" s="9">
        <v>17</v>
      </c>
      <c r="AQ440" s="9">
        <v>19</v>
      </c>
      <c r="AR440" s="9">
        <v>0</v>
      </c>
      <c r="AS440" s="9">
        <v>4</v>
      </c>
      <c r="AT440" s="9">
        <v>0</v>
      </c>
      <c r="AU440" s="9">
        <v>57</v>
      </c>
      <c r="AV440" s="9">
        <v>56</v>
      </c>
      <c r="AW440" s="9">
        <v>53</v>
      </c>
      <c r="AX440" s="9">
        <v>54</v>
      </c>
      <c r="AY440" s="9">
        <v>53</v>
      </c>
      <c r="AZ440" s="9">
        <v>58</v>
      </c>
    </row>
    <row r="441" spans="2:52">
      <c r="B441" t="str">
        <f t="shared" si="30"/>
        <v>Jun</v>
      </c>
      <c r="C441" s="43">
        <f t="shared" si="31"/>
        <v>46187</v>
      </c>
      <c r="D441" s="44">
        <f t="shared" si="32"/>
        <v>46186</v>
      </c>
      <c r="E441" s="9" t="s">
        <v>206</v>
      </c>
      <c r="F441">
        <f t="shared" si="33"/>
        <v>0</v>
      </c>
      <c r="G441">
        <f t="shared" si="34"/>
        <v>35</v>
      </c>
      <c r="AJ441" s="40">
        <v>46186</v>
      </c>
      <c r="AK441" s="9" t="s">
        <v>43</v>
      </c>
      <c r="AL441" s="9" t="s">
        <v>206</v>
      </c>
      <c r="AM441" s="9"/>
      <c r="AN441" s="9">
        <v>83</v>
      </c>
      <c r="AO441" s="9">
        <v>87</v>
      </c>
      <c r="AP441" s="9">
        <v>0</v>
      </c>
      <c r="AQ441" s="9">
        <v>57</v>
      </c>
      <c r="AR441" s="9">
        <v>49</v>
      </c>
      <c r="AS441" s="9">
        <v>53</v>
      </c>
      <c r="AT441" s="9">
        <v>62</v>
      </c>
      <c r="AU441" s="9">
        <v>59</v>
      </c>
      <c r="AV441" s="9">
        <v>67</v>
      </c>
      <c r="AW441" s="9">
        <v>70</v>
      </c>
      <c r="AX441" s="9">
        <v>66</v>
      </c>
      <c r="AY441" s="9">
        <v>66</v>
      </c>
      <c r="AZ441" s="9">
        <v>65</v>
      </c>
    </row>
    <row r="442" spans="2:52">
      <c r="B442" t="str">
        <f t="shared" si="30"/>
        <v>Jun</v>
      </c>
      <c r="C442" s="43">
        <f t="shared" si="31"/>
        <v>46187</v>
      </c>
      <c r="D442" s="44">
        <f t="shared" si="32"/>
        <v>46186</v>
      </c>
      <c r="E442" s="9" t="s">
        <v>207</v>
      </c>
      <c r="F442">
        <f t="shared" si="33"/>
        <v>0</v>
      </c>
      <c r="G442">
        <f t="shared" si="34"/>
        <v>-96</v>
      </c>
      <c r="AJ442" s="40">
        <v>46186</v>
      </c>
      <c r="AK442" s="9" t="s">
        <v>203</v>
      </c>
      <c r="AL442" s="9" t="s">
        <v>207</v>
      </c>
      <c r="AM442" s="9"/>
      <c r="AN442" s="9">
        <v>34</v>
      </c>
      <c r="AO442" s="9">
        <v>41</v>
      </c>
      <c r="AP442" s="9">
        <v>35</v>
      </c>
      <c r="AQ442" s="9">
        <v>37</v>
      </c>
      <c r="AR442" s="9">
        <v>36</v>
      </c>
      <c r="AS442" s="9">
        <v>31</v>
      </c>
      <c r="AT442" s="9">
        <v>38</v>
      </c>
      <c r="AU442" s="9">
        <v>0</v>
      </c>
      <c r="AV442" s="9">
        <v>2</v>
      </c>
      <c r="AW442" s="9">
        <v>9</v>
      </c>
      <c r="AX442" s="9">
        <v>57</v>
      </c>
      <c r="AY442" s="9">
        <v>51</v>
      </c>
      <c r="AZ442" s="9">
        <v>0</v>
      </c>
    </row>
    <row r="443" spans="2:52">
      <c r="B443" t="str">
        <f t="shared" si="30"/>
        <v>Jun</v>
      </c>
      <c r="C443" s="43">
        <f t="shared" si="31"/>
        <v>46187</v>
      </c>
      <c r="D443" s="44">
        <f t="shared" si="32"/>
        <v>46186</v>
      </c>
      <c r="E443" s="9" t="s">
        <v>42</v>
      </c>
      <c r="F443">
        <f t="shared" si="33"/>
        <v>0</v>
      </c>
      <c r="G443">
        <f t="shared" si="34"/>
        <v>-15</v>
      </c>
      <c r="AJ443" s="40">
        <v>46186</v>
      </c>
      <c r="AK443" s="9" t="s">
        <v>42</v>
      </c>
      <c r="AL443" s="9" t="s">
        <v>42</v>
      </c>
      <c r="AM443" s="9"/>
      <c r="AN443" s="9">
        <v>4</v>
      </c>
      <c r="AO443" s="9">
        <v>5</v>
      </c>
      <c r="AP443" s="9">
        <v>39</v>
      </c>
      <c r="AQ443" s="9">
        <v>41</v>
      </c>
      <c r="AR443" s="9">
        <v>41</v>
      </c>
      <c r="AS443" s="9">
        <v>42</v>
      </c>
      <c r="AT443" s="9">
        <v>48</v>
      </c>
      <c r="AU443" s="9">
        <v>0</v>
      </c>
      <c r="AV443" s="9">
        <v>0</v>
      </c>
      <c r="AW443" s="9">
        <v>2</v>
      </c>
      <c r="AX443" s="9">
        <v>0</v>
      </c>
      <c r="AY443" s="9">
        <v>10</v>
      </c>
      <c r="AZ443" s="9">
        <v>14</v>
      </c>
    </row>
    <row r="444" spans="2:52">
      <c r="B444" t="str">
        <f t="shared" si="30"/>
        <v>Jun</v>
      </c>
      <c r="C444" s="43">
        <f t="shared" si="31"/>
        <v>46194</v>
      </c>
      <c r="D444" s="44">
        <f t="shared" si="32"/>
        <v>46187</v>
      </c>
      <c r="E444" s="9" t="s">
        <v>31</v>
      </c>
      <c r="F444">
        <f t="shared" si="33"/>
        <v>0</v>
      </c>
      <c r="G444">
        <f t="shared" si="34"/>
        <v>-108</v>
      </c>
      <c r="AJ444" s="40">
        <v>46187</v>
      </c>
      <c r="AK444" s="9" t="s">
        <v>204</v>
      </c>
      <c r="AL444" s="9" t="s">
        <v>31</v>
      </c>
      <c r="AM444" s="9"/>
      <c r="AN444" s="9">
        <v>129</v>
      </c>
      <c r="AO444" s="9">
        <v>0</v>
      </c>
      <c r="AP444" s="9">
        <v>166</v>
      </c>
      <c r="AQ444" s="9">
        <v>170</v>
      </c>
      <c r="AR444" s="9">
        <v>152</v>
      </c>
      <c r="AS444" s="9">
        <v>0</v>
      </c>
      <c r="AT444" s="9">
        <v>43</v>
      </c>
      <c r="AU444" s="9">
        <v>32</v>
      </c>
      <c r="AV444" s="9">
        <v>30</v>
      </c>
      <c r="AW444" s="9">
        <v>0</v>
      </c>
      <c r="AX444" s="9">
        <v>54</v>
      </c>
      <c r="AY444" s="9">
        <v>61</v>
      </c>
      <c r="AZ444" s="9">
        <v>69</v>
      </c>
    </row>
    <row r="445" spans="2:52">
      <c r="B445" t="str">
        <f t="shared" si="30"/>
        <v>Jun</v>
      </c>
      <c r="C445" s="43">
        <f t="shared" si="31"/>
        <v>46194</v>
      </c>
      <c r="D445" s="44">
        <f t="shared" si="32"/>
        <v>46187</v>
      </c>
      <c r="E445" s="9" t="s">
        <v>39</v>
      </c>
      <c r="F445">
        <f t="shared" si="33"/>
        <v>0</v>
      </c>
      <c r="G445">
        <f t="shared" si="34"/>
        <v>194</v>
      </c>
      <c r="AJ445" s="40">
        <v>46187</v>
      </c>
      <c r="AK445" s="9" t="s">
        <v>205</v>
      </c>
      <c r="AL445" s="9" t="s">
        <v>39</v>
      </c>
      <c r="AM445" s="9"/>
      <c r="AN445" s="9">
        <v>124</v>
      </c>
      <c r="AO445" s="9">
        <v>129</v>
      </c>
      <c r="AP445" s="9">
        <v>132</v>
      </c>
      <c r="AQ445" s="9">
        <v>120</v>
      </c>
      <c r="AR445" s="9">
        <v>109</v>
      </c>
      <c r="AS445" s="9">
        <v>182</v>
      </c>
      <c r="AT445" s="9">
        <v>176</v>
      </c>
      <c r="AU445" s="9">
        <v>189</v>
      </c>
      <c r="AV445" s="9">
        <v>206</v>
      </c>
      <c r="AW445" s="9">
        <v>215</v>
      </c>
      <c r="AX445" s="9">
        <v>205</v>
      </c>
      <c r="AY445" s="9">
        <v>215</v>
      </c>
      <c r="AZ445" s="9">
        <v>230</v>
      </c>
    </row>
    <row r="446" spans="2:52">
      <c r="B446" t="str">
        <f t="shared" si="30"/>
        <v>Jun</v>
      </c>
      <c r="C446" s="43">
        <f t="shared" si="31"/>
        <v>46194</v>
      </c>
      <c r="D446" s="44">
        <f t="shared" si="32"/>
        <v>46187</v>
      </c>
      <c r="E446" s="9" t="s">
        <v>40</v>
      </c>
      <c r="F446">
        <f t="shared" si="33"/>
        <v>0</v>
      </c>
      <c r="G446">
        <f t="shared" si="34"/>
        <v>27</v>
      </c>
      <c r="AJ446" s="40">
        <v>46187</v>
      </c>
      <c r="AK446" s="9" t="s">
        <v>205</v>
      </c>
      <c r="AL446" s="9" t="s">
        <v>40</v>
      </c>
      <c r="AM446" s="9"/>
      <c r="AN446" s="9">
        <v>34</v>
      </c>
      <c r="AO446" s="9">
        <v>42</v>
      </c>
      <c r="AP446" s="9">
        <v>46</v>
      </c>
      <c r="AQ446" s="9">
        <v>23</v>
      </c>
      <c r="AR446" s="9">
        <v>25</v>
      </c>
      <c r="AS446" s="9">
        <v>17</v>
      </c>
      <c r="AT446" s="9">
        <v>10</v>
      </c>
      <c r="AU446" s="9">
        <v>2</v>
      </c>
      <c r="AV446" s="9">
        <v>4</v>
      </c>
      <c r="AW446" s="9">
        <v>0</v>
      </c>
      <c r="AX446" s="9">
        <v>17</v>
      </c>
      <c r="AY446" s="9">
        <v>23</v>
      </c>
      <c r="AZ446" s="9">
        <v>28</v>
      </c>
    </row>
    <row r="447" spans="2:52">
      <c r="B447" t="str">
        <f t="shared" si="30"/>
        <v>Jun</v>
      </c>
      <c r="C447" s="43">
        <f t="shared" si="31"/>
        <v>46194</v>
      </c>
      <c r="D447" s="44">
        <f t="shared" si="32"/>
        <v>46187</v>
      </c>
      <c r="E447" s="9" t="s">
        <v>41</v>
      </c>
      <c r="F447">
        <f t="shared" si="33"/>
        <v>0</v>
      </c>
      <c r="G447">
        <f t="shared" si="34"/>
        <v>2</v>
      </c>
      <c r="AJ447" s="40">
        <v>46187</v>
      </c>
      <c r="AK447" s="9" t="s">
        <v>41</v>
      </c>
      <c r="AL447" s="9" t="s">
        <v>41</v>
      </c>
      <c r="AM447" s="9"/>
      <c r="AN447" s="9">
        <v>13</v>
      </c>
      <c r="AO447" s="9">
        <v>15</v>
      </c>
      <c r="AP447" s="9">
        <v>44</v>
      </c>
      <c r="AQ447" s="9">
        <v>0</v>
      </c>
      <c r="AR447" s="9">
        <v>15</v>
      </c>
      <c r="AS447" s="9">
        <v>13</v>
      </c>
      <c r="AT447" s="9">
        <v>11</v>
      </c>
      <c r="AU447" s="9">
        <v>15</v>
      </c>
      <c r="AV447" s="9">
        <v>13</v>
      </c>
      <c r="AW447" s="9">
        <v>12</v>
      </c>
      <c r="AX447" s="9">
        <v>10</v>
      </c>
      <c r="AY447" s="9">
        <v>0</v>
      </c>
      <c r="AZ447" s="9">
        <v>7</v>
      </c>
    </row>
    <row r="448" spans="2:52">
      <c r="B448" t="str">
        <f t="shared" si="30"/>
        <v>Jun</v>
      </c>
      <c r="C448" s="43">
        <f t="shared" si="31"/>
        <v>46194</v>
      </c>
      <c r="D448" s="44">
        <f t="shared" si="32"/>
        <v>46187</v>
      </c>
      <c r="E448" s="9" t="s">
        <v>45</v>
      </c>
      <c r="F448">
        <f t="shared" si="33"/>
        <v>0</v>
      </c>
      <c r="G448">
        <f t="shared" si="34"/>
        <v>-47</v>
      </c>
      <c r="AJ448" s="40">
        <v>46187</v>
      </c>
      <c r="AK448" s="9" t="s">
        <v>202</v>
      </c>
      <c r="AL448" s="9" t="s">
        <v>45</v>
      </c>
      <c r="AM448" s="9"/>
      <c r="AN448" s="9">
        <v>22</v>
      </c>
      <c r="AO448" s="9">
        <v>0</v>
      </c>
      <c r="AP448" s="9">
        <v>0</v>
      </c>
      <c r="AQ448" s="9">
        <v>0</v>
      </c>
      <c r="AR448" s="9">
        <v>13</v>
      </c>
      <c r="AS448" s="9">
        <v>0</v>
      </c>
      <c r="AT448" s="9">
        <v>26</v>
      </c>
      <c r="AU448" s="9">
        <v>23</v>
      </c>
      <c r="AV448" s="9">
        <v>22</v>
      </c>
      <c r="AW448" s="9">
        <v>43</v>
      </c>
      <c r="AX448" s="9">
        <v>0</v>
      </c>
      <c r="AY448" s="9">
        <v>7</v>
      </c>
      <c r="AZ448" s="9">
        <v>0</v>
      </c>
    </row>
    <row r="449" spans="2:52">
      <c r="B449" t="str">
        <f t="shared" si="30"/>
        <v>Jun</v>
      </c>
      <c r="C449" s="43">
        <f t="shared" si="31"/>
        <v>46194</v>
      </c>
      <c r="D449" s="44">
        <f t="shared" si="32"/>
        <v>46187</v>
      </c>
      <c r="E449" s="9" t="s">
        <v>46</v>
      </c>
      <c r="F449">
        <f t="shared" si="33"/>
        <v>0</v>
      </c>
      <c r="G449">
        <f t="shared" si="34"/>
        <v>43</v>
      </c>
      <c r="AJ449" s="40">
        <v>46187</v>
      </c>
      <c r="AK449" s="9" t="s">
        <v>202</v>
      </c>
      <c r="AL449" s="9" t="s">
        <v>46</v>
      </c>
      <c r="AM449" s="9"/>
      <c r="AN449" s="9">
        <v>2</v>
      </c>
      <c r="AO449" s="9">
        <v>0</v>
      </c>
      <c r="AP449" s="9">
        <v>13</v>
      </c>
      <c r="AQ449" s="9">
        <v>17</v>
      </c>
      <c r="AR449" s="9">
        <v>50</v>
      </c>
      <c r="AS449" s="9">
        <v>55</v>
      </c>
      <c r="AT449" s="9">
        <v>56</v>
      </c>
      <c r="AU449" s="9">
        <v>116</v>
      </c>
      <c r="AV449" s="9">
        <v>0</v>
      </c>
      <c r="AW449" s="9">
        <v>0</v>
      </c>
      <c r="AX449" s="9">
        <v>15</v>
      </c>
      <c r="AY449" s="9">
        <v>11</v>
      </c>
      <c r="AZ449" s="9">
        <v>53</v>
      </c>
    </row>
    <row r="450" spans="2:52">
      <c r="B450" t="str">
        <f t="shared" si="30"/>
        <v>Jun</v>
      </c>
      <c r="C450" s="43">
        <f t="shared" si="31"/>
        <v>46194</v>
      </c>
      <c r="D450" s="44">
        <f t="shared" si="32"/>
        <v>46187</v>
      </c>
      <c r="E450" s="9" t="s">
        <v>47</v>
      </c>
      <c r="F450">
        <f t="shared" si="33"/>
        <v>0</v>
      </c>
      <c r="G450">
        <f t="shared" si="34"/>
        <v>-58</v>
      </c>
      <c r="AJ450" s="40">
        <v>46187</v>
      </c>
      <c r="AK450" s="9" t="s">
        <v>202</v>
      </c>
      <c r="AL450" s="9" t="s">
        <v>47</v>
      </c>
      <c r="AM450" s="9"/>
      <c r="AN450" s="9">
        <v>29</v>
      </c>
      <c r="AO450" s="9">
        <v>3</v>
      </c>
      <c r="AP450" s="9">
        <v>0</v>
      </c>
      <c r="AQ450" s="9">
        <v>0</v>
      </c>
      <c r="AR450" s="9">
        <v>7</v>
      </c>
      <c r="AS450" s="9">
        <v>4</v>
      </c>
      <c r="AT450" s="9">
        <v>0</v>
      </c>
      <c r="AU450" s="9">
        <v>0</v>
      </c>
      <c r="AV450" s="9">
        <v>4</v>
      </c>
      <c r="AW450" s="9">
        <v>2</v>
      </c>
      <c r="AX450" s="9">
        <v>0</v>
      </c>
      <c r="AY450" s="9">
        <v>3</v>
      </c>
      <c r="AZ450" s="9">
        <v>0</v>
      </c>
    </row>
    <row r="451" spans="2:52">
      <c r="B451" t="str">
        <f t="shared" si="30"/>
        <v>Jun</v>
      </c>
      <c r="C451" s="43">
        <f t="shared" si="31"/>
        <v>46194</v>
      </c>
      <c r="D451" s="44">
        <f t="shared" si="32"/>
        <v>46187</v>
      </c>
      <c r="E451" s="9" t="s">
        <v>206</v>
      </c>
      <c r="F451">
        <f t="shared" si="33"/>
        <v>0</v>
      </c>
      <c r="G451">
        <f t="shared" si="34"/>
        <v>-33</v>
      </c>
      <c r="AJ451" s="40">
        <v>46187</v>
      </c>
      <c r="AK451" s="9" t="s">
        <v>43</v>
      </c>
      <c r="AL451" s="9" t="s">
        <v>206</v>
      </c>
      <c r="AM451" s="9"/>
      <c r="AN451" s="9">
        <v>78</v>
      </c>
      <c r="AO451" s="9">
        <v>80</v>
      </c>
      <c r="AP451" s="9">
        <v>0</v>
      </c>
      <c r="AQ451" s="9">
        <v>17</v>
      </c>
      <c r="AR451" s="9">
        <v>0</v>
      </c>
      <c r="AS451" s="9">
        <v>7</v>
      </c>
      <c r="AT451" s="9">
        <v>14</v>
      </c>
      <c r="AU451" s="9">
        <v>0</v>
      </c>
      <c r="AV451" s="9">
        <v>0</v>
      </c>
      <c r="AW451" s="9">
        <v>0</v>
      </c>
      <c r="AX451" s="9">
        <v>29</v>
      </c>
      <c r="AY451" s="9">
        <v>35</v>
      </c>
      <c r="AZ451" s="9">
        <v>32</v>
      </c>
    </row>
    <row r="452" spans="2:52">
      <c r="B452" t="str">
        <f t="shared" si="30"/>
        <v>Jun</v>
      </c>
      <c r="C452" s="43">
        <f t="shared" si="31"/>
        <v>46194</v>
      </c>
      <c r="D452" s="44">
        <f t="shared" si="32"/>
        <v>46187</v>
      </c>
      <c r="E452" s="9" t="s">
        <v>207</v>
      </c>
      <c r="F452">
        <f t="shared" si="33"/>
        <v>0</v>
      </c>
      <c r="G452">
        <f t="shared" si="34"/>
        <v>36</v>
      </c>
      <c r="AJ452" s="40">
        <v>46187</v>
      </c>
      <c r="AK452" s="9" t="s">
        <v>203</v>
      </c>
      <c r="AL452" s="9" t="s">
        <v>207</v>
      </c>
      <c r="AM452" s="9"/>
      <c r="AN452" s="9">
        <v>32</v>
      </c>
      <c r="AO452" s="9">
        <v>0</v>
      </c>
      <c r="AP452" s="9">
        <v>56</v>
      </c>
      <c r="AQ452" s="9">
        <v>53</v>
      </c>
      <c r="AR452" s="9">
        <v>60</v>
      </c>
      <c r="AS452" s="9">
        <v>40</v>
      </c>
      <c r="AT452" s="9">
        <v>41</v>
      </c>
      <c r="AU452" s="9">
        <v>44</v>
      </c>
      <c r="AV452" s="9">
        <v>44</v>
      </c>
      <c r="AW452" s="9">
        <v>46</v>
      </c>
      <c r="AX452" s="9">
        <v>81</v>
      </c>
      <c r="AY452" s="9">
        <v>73</v>
      </c>
      <c r="AZ452" s="9">
        <v>36</v>
      </c>
    </row>
    <row r="453" spans="2:52">
      <c r="B453" t="str">
        <f t="shared" ref="B453:B516" si="35">TEXT(C453,"MMM")</f>
        <v>Jun</v>
      </c>
      <c r="C453" s="43">
        <f t="shared" ref="C453:C516" si="36">AJ453+(8-WEEKDAY(AJ453))</f>
        <v>46194</v>
      </c>
      <c r="D453" s="44">
        <f t="shared" ref="D453:D516" si="37">AJ453</f>
        <v>46187</v>
      </c>
      <c r="E453" s="9" t="s">
        <v>42</v>
      </c>
      <c r="F453">
        <f t="shared" ref="F453:F516" si="38">IF(SUM(V453:AI453)&lt;=0,0,SUM(V453:AI453))</f>
        <v>0</v>
      </c>
      <c r="G453">
        <f t="shared" si="34"/>
        <v>3</v>
      </c>
      <c r="AJ453" s="40">
        <v>46187</v>
      </c>
      <c r="AK453" s="9" t="s">
        <v>42</v>
      </c>
      <c r="AL453" s="9" t="s">
        <v>42</v>
      </c>
      <c r="AM453" s="9"/>
      <c r="AN453" s="9">
        <v>32</v>
      </c>
      <c r="AO453" s="9">
        <v>0</v>
      </c>
      <c r="AP453" s="9">
        <v>20</v>
      </c>
      <c r="AQ453" s="9">
        <v>74</v>
      </c>
      <c r="AR453" s="9">
        <v>81</v>
      </c>
      <c r="AS453" s="9">
        <v>80</v>
      </c>
      <c r="AT453" s="9">
        <v>84</v>
      </c>
      <c r="AU453" s="9">
        <v>83</v>
      </c>
      <c r="AV453" s="9">
        <v>86</v>
      </c>
      <c r="AW453" s="9">
        <v>153</v>
      </c>
      <c r="AX453" s="9">
        <v>0</v>
      </c>
      <c r="AY453" s="9">
        <v>20</v>
      </c>
      <c r="AZ453" s="9">
        <v>17</v>
      </c>
    </row>
    <row r="454" spans="2:52">
      <c r="B454" t="str">
        <f t="shared" si="35"/>
        <v>Jun</v>
      </c>
      <c r="C454" s="43">
        <f t="shared" si="36"/>
        <v>46194</v>
      </c>
      <c r="D454" s="44">
        <f t="shared" si="37"/>
        <v>46188</v>
      </c>
      <c r="E454" s="9" t="s">
        <v>31</v>
      </c>
      <c r="F454">
        <f t="shared" si="38"/>
        <v>0</v>
      </c>
      <c r="G454">
        <f t="shared" si="34"/>
        <v>-69</v>
      </c>
      <c r="AJ454" s="40">
        <v>46188</v>
      </c>
      <c r="AK454" s="9" t="s">
        <v>204</v>
      </c>
      <c r="AL454" s="9" t="s">
        <v>31</v>
      </c>
      <c r="AM454" s="9"/>
      <c r="AN454" s="9">
        <v>104</v>
      </c>
      <c r="AO454" s="9">
        <v>107</v>
      </c>
      <c r="AP454" s="9">
        <v>125</v>
      </c>
      <c r="AQ454" s="9">
        <v>74</v>
      </c>
      <c r="AR454" s="9">
        <v>77</v>
      </c>
      <c r="AS454" s="9">
        <v>74</v>
      </c>
      <c r="AT454" s="9">
        <v>81</v>
      </c>
      <c r="AU454" s="9">
        <v>66</v>
      </c>
      <c r="AV454" s="9">
        <v>63</v>
      </c>
      <c r="AW454" s="9">
        <v>71</v>
      </c>
      <c r="AX454" s="9">
        <v>61</v>
      </c>
      <c r="AY454" s="9">
        <v>48</v>
      </c>
      <c r="AZ454" s="9">
        <v>0</v>
      </c>
    </row>
    <row r="455" spans="2:52">
      <c r="B455" t="str">
        <f t="shared" si="35"/>
        <v>Jun</v>
      </c>
      <c r="C455" s="43">
        <f t="shared" si="36"/>
        <v>46194</v>
      </c>
      <c r="D455" s="44">
        <f t="shared" si="37"/>
        <v>46188</v>
      </c>
      <c r="E455" s="9" t="s">
        <v>39</v>
      </c>
      <c r="F455">
        <f t="shared" si="38"/>
        <v>0</v>
      </c>
      <c r="G455">
        <f t="shared" si="34"/>
        <v>-142</v>
      </c>
      <c r="AJ455" s="40">
        <v>46188</v>
      </c>
      <c r="AK455" s="9" t="s">
        <v>205</v>
      </c>
      <c r="AL455" s="9" t="s">
        <v>39</v>
      </c>
      <c r="AM455" s="9"/>
      <c r="AN455" s="9">
        <v>76</v>
      </c>
      <c r="AO455" s="9">
        <v>127</v>
      </c>
      <c r="AP455" s="9">
        <v>139</v>
      </c>
      <c r="AQ455" s="9">
        <v>136</v>
      </c>
      <c r="AR455" s="9">
        <v>123</v>
      </c>
      <c r="AS455" s="9">
        <v>110</v>
      </c>
      <c r="AT455" s="9">
        <v>95</v>
      </c>
      <c r="AU455" s="9">
        <v>64</v>
      </c>
      <c r="AV455" s="9">
        <v>71</v>
      </c>
      <c r="AW455" s="9">
        <v>87</v>
      </c>
      <c r="AX455" s="9">
        <v>89</v>
      </c>
      <c r="AY455" s="9">
        <v>92</v>
      </c>
      <c r="AZ455" s="9">
        <v>88</v>
      </c>
    </row>
    <row r="456" spans="2:52">
      <c r="B456" t="str">
        <f t="shared" si="35"/>
        <v>Jun</v>
      </c>
      <c r="C456" s="43">
        <f t="shared" si="36"/>
        <v>46194</v>
      </c>
      <c r="D456" s="44">
        <f t="shared" si="37"/>
        <v>46188</v>
      </c>
      <c r="E456" s="9" t="s">
        <v>40</v>
      </c>
      <c r="F456">
        <f t="shared" si="38"/>
        <v>0</v>
      </c>
      <c r="G456">
        <f t="shared" si="34"/>
        <v>76</v>
      </c>
      <c r="AJ456" s="40">
        <v>46188</v>
      </c>
      <c r="AK456" s="9" t="s">
        <v>205</v>
      </c>
      <c r="AL456" s="9" t="s">
        <v>40</v>
      </c>
      <c r="AM456" s="9"/>
      <c r="AN456" s="9">
        <v>30</v>
      </c>
      <c r="AO456" s="9">
        <v>25</v>
      </c>
      <c r="AP456" s="9">
        <v>16</v>
      </c>
      <c r="AQ456" s="9">
        <v>8</v>
      </c>
      <c r="AR456" s="9">
        <v>0</v>
      </c>
      <c r="AS456" s="9">
        <v>9</v>
      </c>
      <c r="AT456" s="9">
        <v>8</v>
      </c>
      <c r="AU456" s="9">
        <v>0</v>
      </c>
      <c r="AV456" s="9">
        <v>3</v>
      </c>
      <c r="AW456" s="9">
        <v>89</v>
      </c>
      <c r="AX456" s="9">
        <v>99</v>
      </c>
      <c r="AY456" s="9">
        <v>105</v>
      </c>
      <c r="AZ456" s="9">
        <v>104</v>
      </c>
    </row>
    <row r="457" spans="2:52">
      <c r="B457" t="str">
        <f t="shared" si="35"/>
        <v>Jun</v>
      </c>
      <c r="C457" s="43">
        <f t="shared" si="36"/>
        <v>46194</v>
      </c>
      <c r="D457" s="44">
        <f t="shared" si="37"/>
        <v>46188</v>
      </c>
      <c r="E457" s="9" t="s">
        <v>41</v>
      </c>
      <c r="F457">
        <f t="shared" si="38"/>
        <v>0</v>
      </c>
      <c r="G457">
        <f t="shared" si="34"/>
        <v>10</v>
      </c>
      <c r="AJ457" s="40">
        <v>46188</v>
      </c>
      <c r="AK457" s="9" t="s">
        <v>41</v>
      </c>
      <c r="AL457" s="9" t="s">
        <v>41</v>
      </c>
      <c r="AM457" s="9"/>
      <c r="AN457" s="9">
        <v>5</v>
      </c>
      <c r="AO457" s="9">
        <v>23</v>
      </c>
      <c r="AP457" s="9">
        <v>71</v>
      </c>
      <c r="AQ457" s="9">
        <v>73</v>
      </c>
      <c r="AR457" s="9">
        <v>71</v>
      </c>
      <c r="AS457" s="9">
        <v>73</v>
      </c>
      <c r="AT457" s="9">
        <v>70</v>
      </c>
      <c r="AU457" s="9">
        <v>68</v>
      </c>
      <c r="AV457" s="9">
        <v>65</v>
      </c>
      <c r="AW457" s="9">
        <v>68</v>
      </c>
      <c r="AX457" s="9">
        <v>0</v>
      </c>
      <c r="AY457" s="9">
        <v>12</v>
      </c>
      <c r="AZ457" s="9">
        <v>17</v>
      </c>
    </row>
    <row r="458" spans="2:52">
      <c r="B458" t="str">
        <f t="shared" si="35"/>
        <v>Jun</v>
      </c>
      <c r="C458" s="43">
        <f t="shared" si="36"/>
        <v>46194</v>
      </c>
      <c r="D458" s="44">
        <f t="shared" si="37"/>
        <v>46188</v>
      </c>
      <c r="E458" s="9" t="s">
        <v>45</v>
      </c>
      <c r="F458">
        <f t="shared" si="38"/>
        <v>0</v>
      </c>
      <c r="G458">
        <f t="shared" si="34"/>
        <v>73</v>
      </c>
      <c r="AJ458" s="40">
        <v>46188</v>
      </c>
      <c r="AK458" s="9" t="s">
        <v>202</v>
      </c>
      <c r="AL458" s="9" t="s">
        <v>45</v>
      </c>
      <c r="AM458" s="9"/>
      <c r="AN458" s="9">
        <v>50</v>
      </c>
      <c r="AO458" s="9">
        <v>43</v>
      </c>
      <c r="AP458" s="9">
        <v>43</v>
      </c>
      <c r="AQ458" s="9">
        <v>47</v>
      </c>
      <c r="AR458" s="9">
        <v>53</v>
      </c>
      <c r="AS458" s="9">
        <v>57</v>
      </c>
      <c r="AT458" s="9">
        <v>54</v>
      </c>
      <c r="AU458" s="9">
        <v>3</v>
      </c>
      <c r="AV458" s="9">
        <v>47</v>
      </c>
      <c r="AW458" s="9">
        <v>82</v>
      </c>
      <c r="AX458" s="9">
        <v>77</v>
      </c>
      <c r="AY458" s="9">
        <v>78</v>
      </c>
      <c r="AZ458" s="9">
        <v>73</v>
      </c>
    </row>
    <row r="459" spans="2:52">
      <c r="B459" t="str">
        <f t="shared" si="35"/>
        <v>Jun</v>
      </c>
      <c r="C459" s="43">
        <f t="shared" si="36"/>
        <v>46194</v>
      </c>
      <c r="D459" s="44">
        <f t="shared" si="37"/>
        <v>46188</v>
      </c>
      <c r="E459" s="9" t="s">
        <v>46</v>
      </c>
      <c r="F459">
        <f t="shared" si="38"/>
        <v>0</v>
      </c>
      <c r="G459">
        <f t="shared" si="34"/>
        <v>-49</v>
      </c>
      <c r="AJ459" s="40">
        <v>46188</v>
      </c>
      <c r="AK459" s="9" t="s">
        <v>202</v>
      </c>
      <c r="AL459" s="9" t="s">
        <v>46</v>
      </c>
      <c r="AM459" s="9"/>
      <c r="AN459" s="9">
        <v>36</v>
      </c>
      <c r="AO459" s="9">
        <v>41</v>
      </c>
      <c r="AP459" s="9">
        <v>45</v>
      </c>
      <c r="AQ459" s="9">
        <v>49</v>
      </c>
      <c r="AR459" s="9">
        <v>0</v>
      </c>
      <c r="AS459" s="9">
        <v>7</v>
      </c>
      <c r="AT459" s="9">
        <v>8</v>
      </c>
      <c r="AU459" s="9">
        <v>0</v>
      </c>
      <c r="AV459" s="9">
        <v>0</v>
      </c>
      <c r="AW459" s="9">
        <v>0</v>
      </c>
      <c r="AX459" s="9">
        <v>1</v>
      </c>
      <c r="AY459" s="9">
        <v>0</v>
      </c>
      <c r="AZ459" s="9">
        <v>4</v>
      </c>
    </row>
    <row r="460" spans="2:52">
      <c r="B460" t="str">
        <f t="shared" si="35"/>
        <v>Jun</v>
      </c>
      <c r="C460" s="43">
        <f t="shared" si="36"/>
        <v>46194</v>
      </c>
      <c r="D460" s="44">
        <f t="shared" si="37"/>
        <v>46188</v>
      </c>
      <c r="E460" s="9" t="s">
        <v>47</v>
      </c>
      <c r="F460">
        <f t="shared" si="38"/>
        <v>0</v>
      </c>
      <c r="G460">
        <f t="shared" si="34"/>
        <v>6</v>
      </c>
      <c r="AJ460" s="40">
        <v>46188</v>
      </c>
      <c r="AK460" s="9" t="s">
        <v>202</v>
      </c>
      <c r="AL460" s="9" t="s">
        <v>47</v>
      </c>
      <c r="AM460" s="9"/>
      <c r="AN460" s="9">
        <v>19</v>
      </c>
      <c r="AO460" s="9">
        <v>18</v>
      </c>
      <c r="AP460" s="9">
        <v>18</v>
      </c>
      <c r="AQ460" s="9">
        <v>0</v>
      </c>
      <c r="AR460" s="9">
        <v>0</v>
      </c>
      <c r="AS460" s="9">
        <v>0</v>
      </c>
      <c r="AT460" s="9">
        <v>1</v>
      </c>
      <c r="AU460" s="9">
        <v>3</v>
      </c>
      <c r="AV460" s="9">
        <v>3</v>
      </c>
      <c r="AW460" s="9">
        <v>0</v>
      </c>
      <c r="AX460" s="9">
        <v>3</v>
      </c>
      <c r="AY460" s="9">
        <v>0</v>
      </c>
      <c r="AZ460" s="9">
        <v>6</v>
      </c>
    </row>
    <row r="461" spans="2:52">
      <c r="B461" t="str">
        <f t="shared" si="35"/>
        <v>Jun</v>
      </c>
      <c r="C461" s="43">
        <f t="shared" si="36"/>
        <v>46194</v>
      </c>
      <c r="D461" s="44">
        <f t="shared" si="37"/>
        <v>46188</v>
      </c>
      <c r="E461" s="9" t="s">
        <v>206</v>
      </c>
      <c r="F461">
        <f t="shared" si="38"/>
        <v>0</v>
      </c>
      <c r="G461">
        <f t="shared" si="34"/>
        <v>-20</v>
      </c>
      <c r="AJ461" s="40">
        <v>46188</v>
      </c>
      <c r="AK461" s="9" t="s">
        <v>43</v>
      </c>
      <c r="AL461" s="9" t="s">
        <v>206</v>
      </c>
      <c r="AM461" s="9"/>
      <c r="AN461" s="9">
        <v>48</v>
      </c>
      <c r="AO461" s="9">
        <v>83</v>
      </c>
      <c r="AP461" s="9">
        <v>80</v>
      </c>
      <c r="AQ461" s="9">
        <v>76</v>
      </c>
      <c r="AR461" s="9">
        <v>80</v>
      </c>
      <c r="AS461" s="9">
        <v>0</v>
      </c>
      <c r="AT461" s="9">
        <v>0</v>
      </c>
      <c r="AU461" s="9">
        <v>0</v>
      </c>
      <c r="AV461" s="9">
        <v>23</v>
      </c>
      <c r="AW461" s="9">
        <v>0</v>
      </c>
      <c r="AX461" s="9">
        <v>0</v>
      </c>
      <c r="AY461" s="9">
        <v>8</v>
      </c>
      <c r="AZ461" s="9">
        <v>12</v>
      </c>
    </row>
    <row r="462" spans="2:52">
      <c r="B462" t="str">
        <f t="shared" si="35"/>
        <v>Jun</v>
      </c>
      <c r="C462" s="43">
        <f t="shared" si="36"/>
        <v>46194</v>
      </c>
      <c r="D462" s="44">
        <f t="shared" si="37"/>
        <v>46188</v>
      </c>
      <c r="E462" s="9" t="s">
        <v>207</v>
      </c>
      <c r="F462">
        <f t="shared" si="38"/>
        <v>0</v>
      </c>
      <c r="G462">
        <f t="shared" si="34"/>
        <v>-36</v>
      </c>
      <c r="AJ462" s="40">
        <v>46188</v>
      </c>
      <c r="AK462" s="9" t="s">
        <v>203</v>
      </c>
      <c r="AL462" s="9" t="s">
        <v>207</v>
      </c>
      <c r="AM462" s="9"/>
      <c r="AN462" s="9">
        <v>0</v>
      </c>
      <c r="AO462" s="9">
        <v>11</v>
      </c>
      <c r="AP462" s="9">
        <v>65</v>
      </c>
      <c r="AQ462" s="9">
        <v>97</v>
      </c>
      <c r="AR462" s="9">
        <v>104</v>
      </c>
      <c r="AS462" s="9">
        <v>107</v>
      </c>
      <c r="AT462" s="9">
        <v>0</v>
      </c>
      <c r="AU462" s="9">
        <v>23</v>
      </c>
      <c r="AV462" s="9">
        <v>0</v>
      </c>
      <c r="AW462" s="9">
        <v>4</v>
      </c>
      <c r="AX462" s="9">
        <v>2</v>
      </c>
      <c r="AY462" s="9">
        <v>2</v>
      </c>
      <c r="AZ462" s="9">
        <v>0</v>
      </c>
    </row>
    <row r="463" spans="2:52">
      <c r="B463" t="str">
        <f t="shared" si="35"/>
        <v>Jun</v>
      </c>
      <c r="C463" s="43">
        <f t="shared" si="36"/>
        <v>46194</v>
      </c>
      <c r="D463" s="44">
        <f t="shared" si="37"/>
        <v>46188</v>
      </c>
      <c r="E463" s="9" t="s">
        <v>42</v>
      </c>
      <c r="F463">
        <f t="shared" si="38"/>
        <v>0</v>
      </c>
      <c r="G463">
        <f t="shared" ref="G463:G526" si="39">SUM(H463:U463)+AZ463-AZ453</f>
        <v>-4</v>
      </c>
      <c r="AJ463" s="40">
        <v>46188</v>
      </c>
      <c r="AK463" s="9" t="s">
        <v>42</v>
      </c>
      <c r="AL463" s="9" t="s">
        <v>42</v>
      </c>
      <c r="AM463" s="9"/>
      <c r="AN463" s="9">
        <v>0</v>
      </c>
      <c r="AO463" s="9">
        <v>0</v>
      </c>
      <c r="AP463" s="9">
        <v>0</v>
      </c>
      <c r="AQ463" s="9">
        <v>3</v>
      </c>
      <c r="AR463" s="9">
        <v>0</v>
      </c>
      <c r="AS463" s="9">
        <v>170</v>
      </c>
      <c r="AT463" s="9">
        <v>195</v>
      </c>
      <c r="AU463" s="9">
        <v>193</v>
      </c>
      <c r="AV463" s="9">
        <v>190</v>
      </c>
      <c r="AW463" s="9">
        <v>191</v>
      </c>
      <c r="AX463" s="9">
        <v>0</v>
      </c>
      <c r="AY463" s="9">
        <v>8</v>
      </c>
      <c r="AZ463" s="9">
        <v>13</v>
      </c>
    </row>
    <row r="464" spans="2:52">
      <c r="B464" t="str">
        <f t="shared" si="35"/>
        <v>Jun</v>
      </c>
      <c r="C464" s="43">
        <f t="shared" si="36"/>
        <v>46194</v>
      </c>
      <c r="D464" s="44">
        <f t="shared" si="37"/>
        <v>46189</v>
      </c>
      <c r="E464" s="9" t="s">
        <v>31</v>
      </c>
      <c r="F464">
        <f t="shared" si="38"/>
        <v>0</v>
      </c>
      <c r="G464">
        <f t="shared" si="39"/>
        <v>120</v>
      </c>
      <c r="AJ464" s="40">
        <v>46189</v>
      </c>
      <c r="AK464" s="9" t="s">
        <v>204</v>
      </c>
      <c r="AL464" s="9" t="s">
        <v>31</v>
      </c>
      <c r="AM464" s="9"/>
      <c r="AN464" s="9">
        <v>125</v>
      </c>
      <c r="AO464" s="9">
        <v>137</v>
      </c>
      <c r="AP464" s="9">
        <v>125</v>
      </c>
      <c r="AQ464" s="9">
        <v>115</v>
      </c>
      <c r="AR464" s="9">
        <v>128</v>
      </c>
      <c r="AS464" s="9">
        <v>139</v>
      </c>
      <c r="AT464" s="9">
        <v>129</v>
      </c>
      <c r="AU464" s="9">
        <v>115</v>
      </c>
      <c r="AV464" s="9">
        <v>98</v>
      </c>
      <c r="AW464" s="9">
        <v>90</v>
      </c>
      <c r="AX464" s="9">
        <v>97</v>
      </c>
      <c r="AY464" s="9">
        <v>111</v>
      </c>
      <c r="AZ464" s="9">
        <v>120</v>
      </c>
    </row>
    <row r="465" spans="2:52">
      <c r="B465" t="str">
        <f t="shared" si="35"/>
        <v>Jun</v>
      </c>
      <c r="C465" s="43">
        <f t="shared" si="36"/>
        <v>46194</v>
      </c>
      <c r="D465" s="44">
        <f t="shared" si="37"/>
        <v>46189</v>
      </c>
      <c r="E465" s="9" t="s">
        <v>39</v>
      </c>
      <c r="F465">
        <f t="shared" si="38"/>
        <v>0</v>
      </c>
      <c r="G465">
        <f t="shared" si="39"/>
        <v>-17</v>
      </c>
      <c r="AJ465" s="40">
        <v>46189</v>
      </c>
      <c r="AK465" s="9" t="s">
        <v>205</v>
      </c>
      <c r="AL465" s="9" t="s">
        <v>39</v>
      </c>
      <c r="AM465" s="9"/>
      <c r="AN465" s="9">
        <v>34</v>
      </c>
      <c r="AO465" s="9">
        <v>30</v>
      </c>
      <c r="AP465" s="9">
        <v>27</v>
      </c>
      <c r="AQ465" s="9">
        <v>19</v>
      </c>
      <c r="AR465" s="9">
        <v>8</v>
      </c>
      <c r="AS465" s="9">
        <v>23</v>
      </c>
      <c r="AT465" s="9">
        <v>10</v>
      </c>
      <c r="AU465" s="9">
        <v>0</v>
      </c>
      <c r="AV465" s="9">
        <v>0</v>
      </c>
      <c r="AW465" s="9">
        <v>43</v>
      </c>
      <c r="AX465" s="9">
        <v>59</v>
      </c>
      <c r="AY465" s="9">
        <v>54</v>
      </c>
      <c r="AZ465" s="9">
        <v>71</v>
      </c>
    </row>
    <row r="466" spans="2:52">
      <c r="B466" t="str">
        <f t="shared" si="35"/>
        <v>Jun</v>
      </c>
      <c r="C466" s="43">
        <f t="shared" si="36"/>
        <v>46194</v>
      </c>
      <c r="D466" s="44">
        <f t="shared" si="37"/>
        <v>46189</v>
      </c>
      <c r="E466" s="9" t="s">
        <v>40</v>
      </c>
      <c r="F466">
        <f t="shared" si="38"/>
        <v>0</v>
      </c>
      <c r="G466">
        <f t="shared" si="39"/>
        <v>-100</v>
      </c>
      <c r="AJ466" s="40">
        <v>46189</v>
      </c>
      <c r="AK466" s="9" t="s">
        <v>205</v>
      </c>
      <c r="AL466" s="9" t="s">
        <v>40</v>
      </c>
      <c r="AM466" s="9"/>
      <c r="AN466" s="9">
        <v>72</v>
      </c>
      <c r="AO466" s="9">
        <v>81</v>
      </c>
      <c r="AP466" s="9">
        <v>74</v>
      </c>
      <c r="AQ466" s="9">
        <v>79</v>
      </c>
      <c r="AR466" s="9">
        <v>94</v>
      </c>
      <c r="AS466" s="9">
        <v>101</v>
      </c>
      <c r="AT466" s="9">
        <v>109</v>
      </c>
      <c r="AU466" s="9">
        <v>99</v>
      </c>
      <c r="AV466" s="9">
        <v>101</v>
      </c>
      <c r="AW466" s="9">
        <v>96</v>
      </c>
      <c r="AX466" s="9">
        <v>0</v>
      </c>
      <c r="AY466" s="9">
        <v>4</v>
      </c>
      <c r="AZ466" s="9">
        <v>4</v>
      </c>
    </row>
    <row r="467" spans="2:52">
      <c r="B467" t="str">
        <f t="shared" si="35"/>
        <v>Jun</v>
      </c>
      <c r="C467" s="43">
        <f t="shared" si="36"/>
        <v>46194</v>
      </c>
      <c r="D467" s="44">
        <f t="shared" si="37"/>
        <v>46189</v>
      </c>
      <c r="E467" s="9" t="s">
        <v>41</v>
      </c>
      <c r="F467">
        <f t="shared" si="38"/>
        <v>0</v>
      </c>
      <c r="G467">
        <f t="shared" si="39"/>
        <v>-17</v>
      </c>
      <c r="AJ467" s="40">
        <v>46189</v>
      </c>
      <c r="AK467" s="9" t="s">
        <v>41</v>
      </c>
      <c r="AL467" s="9" t="s">
        <v>41</v>
      </c>
      <c r="AM467" s="9"/>
      <c r="AN467" s="9">
        <v>35</v>
      </c>
      <c r="AO467" s="9">
        <v>0</v>
      </c>
      <c r="AP467" s="9">
        <v>0</v>
      </c>
      <c r="AQ467" s="9">
        <v>0</v>
      </c>
      <c r="AR467" s="9">
        <v>0</v>
      </c>
      <c r="AS467" s="9">
        <v>13</v>
      </c>
      <c r="AT467" s="9">
        <v>13</v>
      </c>
      <c r="AU467" s="9">
        <v>16</v>
      </c>
      <c r="AV467" s="9">
        <v>18</v>
      </c>
      <c r="AW467" s="9">
        <v>20</v>
      </c>
      <c r="AX467" s="9">
        <v>20</v>
      </c>
      <c r="AY467" s="9">
        <v>0</v>
      </c>
      <c r="AZ467" s="9">
        <v>0</v>
      </c>
    </row>
    <row r="468" spans="2:52">
      <c r="B468" t="str">
        <f t="shared" si="35"/>
        <v>Jun</v>
      </c>
      <c r="C468" s="43">
        <f t="shared" si="36"/>
        <v>46194</v>
      </c>
      <c r="D468" s="44">
        <f t="shared" si="37"/>
        <v>46189</v>
      </c>
      <c r="E468" s="9" t="s">
        <v>45</v>
      </c>
      <c r="F468">
        <f t="shared" si="38"/>
        <v>0</v>
      </c>
      <c r="G468">
        <f t="shared" si="39"/>
        <v>-54</v>
      </c>
      <c r="AJ468" s="40">
        <v>46189</v>
      </c>
      <c r="AK468" s="9" t="s">
        <v>202</v>
      </c>
      <c r="AL468" s="9" t="s">
        <v>45</v>
      </c>
      <c r="AM468" s="9"/>
      <c r="AN468" s="9">
        <v>37</v>
      </c>
      <c r="AO468" s="9">
        <v>0</v>
      </c>
      <c r="AP468" s="9">
        <v>2</v>
      </c>
      <c r="AQ468" s="9">
        <v>0</v>
      </c>
      <c r="AR468" s="9">
        <v>0</v>
      </c>
      <c r="AS468" s="9">
        <v>0</v>
      </c>
      <c r="AT468" s="9">
        <v>0</v>
      </c>
      <c r="AU468" s="9">
        <v>1</v>
      </c>
      <c r="AV468" s="9">
        <v>0</v>
      </c>
      <c r="AW468" s="9">
        <v>0</v>
      </c>
      <c r="AX468" s="9">
        <v>0</v>
      </c>
      <c r="AY468" s="9">
        <v>25</v>
      </c>
      <c r="AZ468" s="9">
        <v>19</v>
      </c>
    </row>
    <row r="469" spans="2:52">
      <c r="B469" t="str">
        <f t="shared" si="35"/>
        <v>Jun</v>
      </c>
      <c r="C469" s="43">
        <f t="shared" si="36"/>
        <v>46194</v>
      </c>
      <c r="D469" s="44">
        <f t="shared" si="37"/>
        <v>46189</v>
      </c>
      <c r="E469" s="9" t="s">
        <v>46</v>
      </c>
      <c r="F469">
        <f t="shared" si="38"/>
        <v>0</v>
      </c>
      <c r="G469">
        <f t="shared" si="39"/>
        <v>4</v>
      </c>
      <c r="AJ469" s="40">
        <v>46189</v>
      </c>
      <c r="AK469" s="9" t="s">
        <v>202</v>
      </c>
      <c r="AL469" s="9" t="s">
        <v>46</v>
      </c>
      <c r="AM469" s="9"/>
      <c r="AN469" s="9">
        <v>0</v>
      </c>
      <c r="AO469" s="9">
        <v>3</v>
      </c>
      <c r="AP469" s="9">
        <v>0</v>
      </c>
      <c r="AQ469" s="9">
        <v>11</v>
      </c>
      <c r="AR469" s="9">
        <v>9</v>
      </c>
      <c r="AS469" s="9">
        <v>14</v>
      </c>
      <c r="AT469" s="9">
        <v>18</v>
      </c>
      <c r="AU469" s="9">
        <v>20</v>
      </c>
      <c r="AV469" s="9">
        <v>17</v>
      </c>
      <c r="AW469" s="9">
        <v>21</v>
      </c>
      <c r="AX469" s="9">
        <v>0</v>
      </c>
      <c r="AY469" s="9">
        <v>10</v>
      </c>
      <c r="AZ469" s="9">
        <v>8</v>
      </c>
    </row>
    <row r="470" spans="2:52">
      <c r="B470" t="str">
        <f t="shared" si="35"/>
        <v>Jun</v>
      </c>
      <c r="C470" s="43">
        <f t="shared" si="36"/>
        <v>46194</v>
      </c>
      <c r="D470" s="44">
        <f t="shared" si="37"/>
        <v>46189</v>
      </c>
      <c r="E470" s="9" t="s">
        <v>47</v>
      </c>
      <c r="F470">
        <f t="shared" si="38"/>
        <v>0</v>
      </c>
      <c r="G470">
        <f t="shared" si="39"/>
        <v>43</v>
      </c>
      <c r="AJ470" s="40">
        <v>46189</v>
      </c>
      <c r="AK470" s="9" t="s">
        <v>202</v>
      </c>
      <c r="AL470" s="9" t="s">
        <v>47</v>
      </c>
      <c r="AM470" s="9"/>
      <c r="AN470" s="9">
        <v>0</v>
      </c>
      <c r="AO470" s="9">
        <v>5</v>
      </c>
      <c r="AP470" s="9">
        <v>6</v>
      </c>
      <c r="AQ470" s="9">
        <v>4</v>
      </c>
      <c r="AR470" s="9">
        <v>5</v>
      </c>
      <c r="AS470" s="9">
        <v>4</v>
      </c>
      <c r="AT470" s="9">
        <v>7</v>
      </c>
      <c r="AU470" s="9">
        <v>7</v>
      </c>
      <c r="AV470" s="9">
        <v>6</v>
      </c>
      <c r="AW470" s="9">
        <v>10</v>
      </c>
      <c r="AX470" s="9">
        <v>10</v>
      </c>
      <c r="AY470" s="9">
        <v>52</v>
      </c>
      <c r="AZ470" s="9">
        <v>49</v>
      </c>
    </row>
    <row r="471" spans="2:52">
      <c r="B471" t="str">
        <f t="shared" si="35"/>
        <v>Jun</v>
      </c>
      <c r="C471" s="43">
        <f t="shared" si="36"/>
        <v>46194</v>
      </c>
      <c r="D471" s="44">
        <f t="shared" si="37"/>
        <v>46189</v>
      </c>
      <c r="E471" s="9" t="s">
        <v>206</v>
      </c>
      <c r="F471">
        <f t="shared" si="38"/>
        <v>0</v>
      </c>
      <c r="G471">
        <f t="shared" si="39"/>
        <v>20</v>
      </c>
      <c r="AJ471" s="40">
        <v>46189</v>
      </c>
      <c r="AK471" s="9" t="s">
        <v>43</v>
      </c>
      <c r="AL471" s="9" t="s">
        <v>206</v>
      </c>
      <c r="AM471" s="9"/>
      <c r="AN471" s="9">
        <v>18</v>
      </c>
      <c r="AO471" s="9">
        <v>12</v>
      </c>
      <c r="AP471" s="9">
        <v>17</v>
      </c>
      <c r="AQ471" s="9">
        <v>16</v>
      </c>
      <c r="AR471" s="9">
        <v>13</v>
      </c>
      <c r="AS471" s="9">
        <v>5</v>
      </c>
      <c r="AT471" s="9">
        <v>0</v>
      </c>
      <c r="AU471" s="9">
        <v>19</v>
      </c>
      <c r="AV471" s="9">
        <v>25</v>
      </c>
      <c r="AW471" s="9">
        <v>3</v>
      </c>
      <c r="AX471" s="9">
        <v>9</v>
      </c>
      <c r="AY471" s="9">
        <v>8</v>
      </c>
      <c r="AZ471" s="9">
        <v>32</v>
      </c>
    </row>
    <row r="472" spans="2:52">
      <c r="B472" t="str">
        <f t="shared" si="35"/>
        <v>Jun</v>
      </c>
      <c r="C472" s="43">
        <f t="shared" si="36"/>
        <v>46194</v>
      </c>
      <c r="D472" s="44">
        <f t="shared" si="37"/>
        <v>46189</v>
      </c>
      <c r="E472" s="9" t="s">
        <v>207</v>
      </c>
      <c r="F472">
        <f t="shared" si="38"/>
        <v>0</v>
      </c>
      <c r="G472">
        <f t="shared" si="39"/>
        <v>0</v>
      </c>
      <c r="AJ472" s="40">
        <v>46189</v>
      </c>
      <c r="AK472" s="9" t="s">
        <v>203</v>
      </c>
      <c r="AL472" s="9" t="s">
        <v>207</v>
      </c>
      <c r="AM472" s="9"/>
      <c r="AN472" s="9">
        <v>89</v>
      </c>
      <c r="AO472" s="9">
        <v>0</v>
      </c>
      <c r="AP472" s="9">
        <v>2</v>
      </c>
      <c r="AQ472" s="9">
        <v>8</v>
      </c>
      <c r="AR472" s="9">
        <v>7</v>
      </c>
      <c r="AS472" s="9">
        <v>10</v>
      </c>
      <c r="AT472" s="9">
        <v>0</v>
      </c>
      <c r="AU472" s="9">
        <v>0</v>
      </c>
      <c r="AV472" s="9">
        <v>9</v>
      </c>
      <c r="AW472" s="9">
        <v>0</v>
      </c>
      <c r="AX472" s="9">
        <v>0</v>
      </c>
      <c r="AY472" s="9">
        <v>5</v>
      </c>
      <c r="AZ472" s="9">
        <v>0</v>
      </c>
    </row>
    <row r="473" spans="2:52">
      <c r="B473" t="str">
        <f t="shared" si="35"/>
        <v>Jun</v>
      </c>
      <c r="C473" s="43">
        <f t="shared" si="36"/>
        <v>46194</v>
      </c>
      <c r="D473" s="44">
        <f t="shared" si="37"/>
        <v>46189</v>
      </c>
      <c r="E473" s="9" t="s">
        <v>42</v>
      </c>
      <c r="F473">
        <f t="shared" si="38"/>
        <v>0</v>
      </c>
      <c r="G473">
        <f t="shared" si="39"/>
        <v>6</v>
      </c>
      <c r="AJ473" s="40">
        <v>46189</v>
      </c>
      <c r="AK473" s="9" t="s">
        <v>42</v>
      </c>
      <c r="AL473" s="9" t="s">
        <v>42</v>
      </c>
      <c r="AM473" s="9"/>
      <c r="AN473" s="9">
        <v>57</v>
      </c>
      <c r="AO473" s="9">
        <v>57</v>
      </c>
      <c r="AP473" s="9">
        <v>0</v>
      </c>
      <c r="AQ473" s="9">
        <v>11</v>
      </c>
      <c r="AR473" s="9">
        <v>0</v>
      </c>
      <c r="AS473" s="9">
        <v>0</v>
      </c>
      <c r="AT473" s="9">
        <v>20</v>
      </c>
      <c r="AU473" s="9">
        <v>17</v>
      </c>
      <c r="AV473" s="9">
        <v>0</v>
      </c>
      <c r="AW473" s="9">
        <v>0</v>
      </c>
      <c r="AX473" s="9">
        <v>23</v>
      </c>
      <c r="AY473" s="9">
        <v>22</v>
      </c>
      <c r="AZ473" s="9">
        <v>19</v>
      </c>
    </row>
    <row r="474" spans="2:52">
      <c r="B474" t="str">
        <f t="shared" si="35"/>
        <v>Jun</v>
      </c>
      <c r="C474" s="43">
        <f t="shared" si="36"/>
        <v>46194</v>
      </c>
      <c r="D474" s="44">
        <f t="shared" si="37"/>
        <v>46190</v>
      </c>
      <c r="E474" s="9" t="s">
        <v>31</v>
      </c>
      <c r="F474">
        <f t="shared" si="38"/>
        <v>0</v>
      </c>
      <c r="G474">
        <f t="shared" si="39"/>
        <v>120</v>
      </c>
      <c r="AJ474" s="40">
        <v>46190</v>
      </c>
      <c r="AK474" s="9" t="s">
        <v>204</v>
      </c>
      <c r="AL474" s="9" t="s">
        <v>31</v>
      </c>
      <c r="AM474" s="9"/>
      <c r="AN474" s="9">
        <v>123</v>
      </c>
      <c r="AO474" s="9">
        <v>135</v>
      </c>
      <c r="AP474" s="9">
        <v>218</v>
      </c>
      <c r="AQ474" s="9">
        <v>237</v>
      </c>
      <c r="AR474" s="9">
        <v>239</v>
      </c>
      <c r="AS474" s="9">
        <v>240</v>
      </c>
      <c r="AT474" s="9">
        <v>230</v>
      </c>
      <c r="AU474" s="9">
        <v>224</v>
      </c>
      <c r="AV474" s="9">
        <v>230</v>
      </c>
      <c r="AW474" s="9">
        <v>240</v>
      </c>
      <c r="AX474" s="9">
        <v>240</v>
      </c>
      <c r="AY474" s="9">
        <v>229</v>
      </c>
      <c r="AZ474" s="9">
        <v>240</v>
      </c>
    </row>
    <row r="475" spans="2:52">
      <c r="B475" t="str">
        <f t="shared" si="35"/>
        <v>Jun</v>
      </c>
      <c r="C475" s="43">
        <f t="shared" si="36"/>
        <v>46194</v>
      </c>
      <c r="D475" s="44">
        <f t="shared" si="37"/>
        <v>46190</v>
      </c>
      <c r="E475" s="9" t="s">
        <v>39</v>
      </c>
      <c r="F475">
        <f t="shared" si="38"/>
        <v>0</v>
      </c>
      <c r="G475">
        <f t="shared" si="39"/>
        <v>-62</v>
      </c>
      <c r="AJ475" s="40">
        <v>46190</v>
      </c>
      <c r="AK475" s="9" t="s">
        <v>205</v>
      </c>
      <c r="AL475" s="9" t="s">
        <v>39</v>
      </c>
      <c r="AM475" s="9"/>
      <c r="AN475" s="9">
        <v>0</v>
      </c>
      <c r="AO475" s="9">
        <v>40</v>
      </c>
      <c r="AP475" s="9">
        <v>46</v>
      </c>
      <c r="AQ475" s="9">
        <v>36</v>
      </c>
      <c r="AR475" s="9">
        <v>76</v>
      </c>
      <c r="AS475" s="9">
        <v>66</v>
      </c>
      <c r="AT475" s="9">
        <v>47</v>
      </c>
      <c r="AU475" s="9">
        <v>61</v>
      </c>
      <c r="AV475" s="9">
        <v>0</v>
      </c>
      <c r="AW475" s="9">
        <v>12</v>
      </c>
      <c r="AX475" s="9">
        <v>0</v>
      </c>
      <c r="AY475" s="9">
        <v>0</v>
      </c>
      <c r="AZ475" s="9">
        <v>9</v>
      </c>
    </row>
    <row r="476" spans="2:52">
      <c r="B476" t="str">
        <f t="shared" si="35"/>
        <v>Jun</v>
      </c>
      <c r="C476" s="43">
        <f t="shared" si="36"/>
        <v>46194</v>
      </c>
      <c r="D476" s="44">
        <f t="shared" si="37"/>
        <v>46190</v>
      </c>
      <c r="E476" s="9" t="s">
        <v>40</v>
      </c>
      <c r="F476">
        <f t="shared" si="38"/>
        <v>0</v>
      </c>
      <c r="G476">
        <f t="shared" si="39"/>
        <v>236</v>
      </c>
      <c r="AJ476" s="40">
        <v>46190</v>
      </c>
      <c r="AK476" s="9" t="s">
        <v>205</v>
      </c>
      <c r="AL476" s="9" t="s">
        <v>40</v>
      </c>
      <c r="AM476" s="9"/>
      <c r="AN476" s="9">
        <v>63</v>
      </c>
      <c r="AO476" s="9">
        <v>65</v>
      </c>
      <c r="AP476" s="9">
        <v>121</v>
      </c>
      <c r="AQ476" s="9">
        <v>115</v>
      </c>
      <c r="AR476" s="9">
        <v>125</v>
      </c>
      <c r="AS476" s="9">
        <v>123</v>
      </c>
      <c r="AT476" s="9">
        <v>162</v>
      </c>
      <c r="AU476" s="9">
        <v>157</v>
      </c>
      <c r="AV476" s="9">
        <v>164</v>
      </c>
      <c r="AW476" s="9">
        <v>176</v>
      </c>
      <c r="AX476" s="9">
        <v>183</v>
      </c>
      <c r="AY476" s="9">
        <v>191</v>
      </c>
      <c r="AZ476" s="9">
        <v>240</v>
      </c>
    </row>
    <row r="477" spans="2:52">
      <c r="B477" t="str">
        <f t="shared" si="35"/>
        <v>Jun</v>
      </c>
      <c r="C477" s="43">
        <f t="shared" si="36"/>
        <v>46194</v>
      </c>
      <c r="D477" s="44">
        <f t="shared" si="37"/>
        <v>46190</v>
      </c>
      <c r="E477" s="9" t="s">
        <v>41</v>
      </c>
      <c r="F477">
        <f t="shared" si="38"/>
        <v>0</v>
      </c>
      <c r="G477">
        <f t="shared" si="39"/>
        <v>17</v>
      </c>
      <c r="AJ477" s="40">
        <v>46190</v>
      </c>
      <c r="AK477" s="9" t="s">
        <v>41</v>
      </c>
      <c r="AL477" s="9" t="s">
        <v>41</v>
      </c>
      <c r="AM477" s="9"/>
      <c r="AN477" s="9">
        <v>0</v>
      </c>
      <c r="AO477" s="9">
        <v>2</v>
      </c>
      <c r="AP477" s="9">
        <v>6</v>
      </c>
      <c r="AQ477" s="9">
        <v>0</v>
      </c>
      <c r="AR477" s="9">
        <v>0</v>
      </c>
      <c r="AS477" s="9">
        <v>14</v>
      </c>
      <c r="AT477" s="9">
        <v>15</v>
      </c>
      <c r="AU477" s="9">
        <v>17</v>
      </c>
      <c r="AV477" s="9">
        <v>19</v>
      </c>
      <c r="AW477" s="9">
        <v>16</v>
      </c>
      <c r="AX477" s="9">
        <v>15</v>
      </c>
      <c r="AY477" s="9">
        <v>12</v>
      </c>
      <c r="AZ477" s="9">
        <v>17</v>
      </c>
    </row>
    <row r="478" spans="2:52">
      <c r="B478" t="str">
        <f t="shared" si="35"/>
        <v>Jun</v>
      </c>
      <c r="C478" s="43">
        <f t="shared" si="36"/>
        <v>46194</v>
      </c>
      <c r="D478" s="44">
        <f t="shared" si="37"/>
        <v>46190</v>
      </c>
      <c r="E478" s="9" t="s">
        <v>45</v>
      </c>
      <c r="F478">
        <f t="shared" si="38"/>
        <v>0</v>
      </c>
      <c r="G478">
        <f t="shared" si="39"/>
        <v>28</v>
      </c>
      <c r="AJ478" s="40">
        <v>46190</v>
      </c>
      <c r="AK478" s="9" t="s">
        <v>202</v>
      </c>
      <c r="AL478" s="9" t="s">
        <v>45</v>
      </c>
      <c r="AM478" s="9"/>
      <c r="AN478" s="9">
        <v>41</v>
      </c>
      <c r="AO478" s="9">
        <v>103</v>
      </c>
      <c r="AP478" s="9">
        <v>0</v>
      </c>
      <c r="AQ478" s="9">
        <v>7</v>
      </c>
      <c r="AR478" s="9">
        <v>15</v>
      </c>
      <c r="AS478" s="9">
        <v>55</v>
      </c>
      <c r="AT478" s="9">
        <v>48</v>
      </c>
      <c r="AU478" s="9">
        <v>42</v>
      </c>
      <c r="AV478" s="9">
        <v>39</v>
      </c>
      <c r="AW478" s="9">
        <v>39</v>
      </c>
      <c r="AX478" s="9">
        <v>44</v>
      </c>
      <c r="AY478" s="9">
        <v>41</v>
      </c>
      <c r="AZ478" s="9">
        <v>47</v>
      </c>
    </row>
    <row r="479" spans="2:52">
      <c r="B479" t="str">
        <f t="shared" si="35"/>
        <v>Jun</v>
      </c>
      <c r="C479" s="43">
        <f t="shared" si="36"/>
        <v>46194</v>
      </c>
      <c r="D479" s="44">
        <f t="shared" si="37"/>
        <v>46190</v>
      </c>
      <c r="E479" s="9" t="s">
        <v>46</v>
      </c>
      <c r="F479">
        <f t="shared" si="38"/>
        <v>0</v>
      </c>
      <c r="G479">
        <f t="shared" si="39"/>
        <v>9</v>
      </c>
      <c r="AJ479" s="40">
        <v>46190</v>
      </c>
      <c r="AK479" s="9" t="s">
        <v>202</v>
      </c>
      <c r="AL479" s="9" t="s">
        <v>46</v>
      </c>
      <c r="AM479" s="9"/>
      <c r="AN479" s="9">
        <v>37</v>
      </c>
      <c r="AO479" s="9">
        <v>34</v>
      </c>
      <c r="AP479" s="9">
        <v>34</v>
      </c>
      <c r="AQ479" s="9">
        <v>37</v>
      </c>
      <c r="AR479" s="9">
        <v>39</v>
      </c>
      <c r="AS479" s="9">
        <v>37</v>
      </c>
      <c r="AT479" s="9">
        <v>39</v>
      </c>
      <c r="AU479" s="9">
        <v>43</v>
      </c>
      <c r="AV479" s="9">
        <v>39</v>
      </c>
      <c r="AW479" s="9">
        <v>0</v>
      </c>
      <c r="AX479" s="9">
        <v>16</v>
      </c>
      <c r="AY479" s="9">
        <v>15</v>
      </c>
      <c r="AZ479" s="9">
        <v>17</v>
      </c>
    </row>
    <row r="480" spans="2:52">
      <c r="B480" t="str">
        <f t="shared" si="35"/>
        <v>Jun</v>
      </c>
      <c r="C480" s="43">
        <f t="shared" si="36"/>
        <v>46194</v>
      </c>
      <c r="D480" s="44">
        <f t="shared" si="37"/>
        <v>46190</v>
      </c>
      <c r="E480" s="9" t="s">
        <v>47</v>
      </c>
      <c r="F480">
        <f t="shared" si="38"/>
        <v>0</v>
      </c>
      <c r="G480">
        <f t="shared" si="39"/>
        <v>-49</v>
      </c>
      <c r="AJ480" s="40">
        <v>46190</v>
      </c>
      <c r="AK480" s="9" t="s">
        <v>202</v>
      </c>
      <c r="AL480" s="9" t="s">
        <v>47</v>
      </c>
      <c r="AM480" s="9"/>
      <c r="AN480" s="9">
        <v>0</v>
      </c>
      <c r="AO480" s="9">
        <v>5</v>
      </c>
      <c r="AP480" s="9">
        <v>3</v>
      </c>
      <c r="AQ480" s="9">
        <v>99</v>
      </c>
      <c r="AR480" s="9">
        <v>104</v>
      </c>
      <c r="AS480" s="9">
        <v>103</v>
      </c>
      <c r="AT480" s="9">
        <v>140</v>
      </c>
      <c r="AU480" s="9">
        <v>0</v>
      </c>
      <c r="AV480" s="9">
        <v>0</v>
      </c>
      <c r="AW480" s="9">
        <v>4</v>
      </c>
      <c r="AX480" s="9">
        <v>2</v>
      </c>
      <c r="AY480" s="9">
        <v>5</v>
      </c>
      <c r="AZ480" s="9">
        <v>0</v>
      </c>
    </row>
    <row r="481" spans="2:52">
      <c r="B481" t="str">
        <f t="shared" si="35"/>
        <v>Jun</v>
      </c>
      <c r="C481" s="43">
        <f t="shared" si="36"/>
        <v>46194</v>
      </c>
      <c r="D481" s="44">
        <f t="shared" si="37"/>
        <v>46190</v>
      </c>
      <c r="E481" s="9" t="s">
        <v>206</v>
      </c>
      <c r="F481">
        <f t="shared" si="38"/>
        <v>0</v>
      </c>
      <c r="G481">
        <f t="shared" si="39"/>
        <v>-32</v>
      </c>
      <c r="AJ481" s="40">
        <v>46190</v>
      </c>
      <c r="AK481" s="9" t="s">
        <v>43</v>
      </c>
      <c r="AL481" s="9" t="s">
        <v>206</v>
      </c>
      <c r="AM481" s="9"/>
      <c r="AN481" s="9">
        <v>32</v>
      </c>
      <c r="AO481" s="9">
        <v>33</v>
      </c>
      <c r="AP481" s="9">
        <v>30</v>
      </c>
      <c r="AQ481" s="9">
        <v>37</v>
      </c>
      <c r="AR481" s="9">
        <v>0</v>
      </c>
      <c r="AS481" s="9">
        <v>4</v>
      </c>
      <c r="AT481" s="9">
        <v>6</v>
      </c>
      <c r="AU481" s="9">
        <v>0</v>
      </c>
      <c r="AV481" s="9">
        <v>0</v>
      </c>
      <c r="AW481" s="9">
        <v>0</v>
      </c>
      <c r="AX481" s="9">
        <v>2</v>
      </c>
      <c r="AY481" s="9">
        <v>3</v>
      </c>
      <c r="AZ481" s="9">
        <v>0</v>
      </c>
    </row>
    <row r="482" spans="2:52">
      <c r="B482" t="str">
        <f t="shared" si="35"/>
        <v>Jun</v>
      </c>
      <c r="C482" s="43">
        <f t="shared" si="36"/>
        <v>46194</v>
      </c>
      <c r="D482" s="44">
        <f t="shared" si="37"/>
        <v>46190</v>
      </c>
      <c r="E482" s="9" t="s">
        <v>207</v>
      </c>
      <c r="F482">
        <f t="shared" si="38"/>
        <v>0</v>
      </c>
      <c r="G482">
        <f t="shared" si="39"/>
        <v>3</v>
      </c>
      <c r="AJ482" s="40">
        <v>46190</v>
      </c>
      <c r="AK482" s="9" t="s">
        <v>203</v>
      </c>
      <c r="AL482" s="9" t="s">
        <v>207</v>
      </c>
      <c r="AM482" s="9"/>
      <c r="AN482" s="9">
        <v>59</v>
      </c>
      <c r="AO482" s="9">
        <v>0</v>
      </c>
      <c r="AP482" s="9">
        <v>0</v>
      </c>
      <c r="AQ482" s="9">
        <v>4</v>
      </c>
      <c r="AR482" s="9">
        <v>0</v>
      </c>
      <c r="AS482" s="9">
        <v>7</v>
      </c>
      <c r="AT482" s="9">
        <v>0</v>
      </c>
      <c r="AU482" s="9">
        <v>5</v>
      </c>
      <c r="AV482" s="9">
        <v>14</v>
      </c>
      <c r="AW482" s="9">
        <v>0</v>
      </c>
      <c r="AX482" s="9">
        <v>6</v>
      </c>
      <c r="AY482" s="9">
        <v>7</v>
      </c>
      <c r="AZ482" s="9">
        <v>3</v>
      </c>
    </row>
    <row r="483" spans="2:52">
      <c r="B483" t="str">
        <f t="shared" si="35"/>
        <v>Jun</v>
      </c>
      <c r="C483" s="43">
        <f t="shared" si="36"/>
        <v>46194</v>
      </c>
      <c r="D483" s="44">
        <f t="shared" si="37"/>
        <v>46190</v>
      </c>
      <c r="E483" s="9" t="s">
        <v>42</v>
      </c>
      <c r="F483">
        <f t="shared" si="38"/>
        <v>0</v>
      </c>
      <c r="G483">
        <f t="shared" si="39"/>
        <v>-3</v>
      </c>
      <c r="AJ483" s="40">
        <v>46190</v>
      </c>
      <c r="AK483" s="9" t="s">
        <v>42</v>
      </c>
      <c r="AL483" s="9" t="s">
        <v>42</v>
      </c>
      <c r="AM483" s="9"/>
      <c r="AN483" s="9">
        <v>49</v>
      </c>
      <c r="AO483" s="9">
        <v>53</v>
      </c>
      <c r="AP483" s="9">
        <v>0</v>
      </c>
      <c r="AQ483" s="9">
        <v>18</v>
      </c>
      <c r="AR483" s="9">
        <v>0</v>
      </c>
      <c r="AS483" s="9">
        <v>100</v>
      </c>
      <c r="AT483" s="9">
        <v>81</v>
      </c>
      <c r="AU483" s="9">
        <v>78</v>
      </c>
      <c r="AV483" s="9">
        <v>76</v>
      </c>
      <c r="AW483" s="9">
        <v>0</v>
      </c>
      <c r="AX483" s="9">
        <v>19</v>
      </c>
      <c r="AY483" s="9">
        <v>17</v>
      </c>
      <c r="AZ483" s="9">
        <v>16</v>
      </c>
    </row>
    <row r="484" spans="2:52">
      <c r="B484" t="str">
        <f t="shared" si="35"/>
        <v>Jun</v>
      </c>
      <c r="C484" s="43">
        <f t="shared" si="36"/>
        <v>46194</v>
      </c>
      <c r="D484" s="44">
        <f t="shared" si="37"/>
        <v>46191</v>
      </c>
      <c r="E484" s="9" t="s">
        <v>31</v>
      </c>
      <c r="F484">
        <f t="shared" si="38"/>
        <v>0</v>
      </c>
      <c r="G484">
        <f t="shared" si="39"/>
        <v>-161</v>
      </c>
      <c r="AJ484" s="40">
        <v>46191</v>
      </c>
      <c r="AK484" s="9" t="s">
        <v>204</v>
      </c>
      <c r="AL484" s="9" t="s">
        <v>31</v>
      </c>
      <c r="AM484" s="9"/>
      <c r="AN484" s="9">
        <v>107</v>
      </c>
      <c r="AO484" s="9">
        <v>0</v>
      </c>
      <c r="AP484" s="9">
        <v>9</v>
      </c>
      <c r="AQ484" s="9">
        <v>26</v>
      </c>
      <c r="AR484" s="9">
        <v>20</v>
      </c>
      <c r="AS484" s="9">
        <v>12</v>
      </c>
      <c r="AT484" s="9">
        <v>5</v>
      </c>
      <c r="AU484" s="9">
        <v>0</v>
      </c>
      <c r="AV484" s="9">
        <v>0</v>
      </c>
      <c r="AW484" s="9">
        <v>0</v>
      </c>
      <c r="AX484" s="9">
        <v>49</v>
      </c>
      <c r="AY484" s="9">
        <v>57</v>
      </c>
      <c r="AZ484" s="9">
        <v>79</v>
      </c>
    </row>
    <row r="485" spans="2:52">
      <c r="B485" t="str">
        <f t="shared" si="35"/>
        <v>Jun</v>
      </c>
      <c r="C485" s="43">
        <f t="shared" si="36"/>
        <v>46194</v>
      </c>
      <c r="D485" s="44">
        <f t="shared" si="37"/>
        <v>46191</v>
      </c>
      <c r="E485" s="9" t="s">
        <v>39</v>
      </c>
      <c r="F485">
        <f t="shared" si="38"/>
        <v>0</v>
      </c>
      <c r="G485">
        <f t="shared" si="39"/>
        <v>-1</v>
      </c>
      <c r="AJ485" s="40">
        <v>46191</v>
      </c>
      <c r="AK485" s="9" t="s">
        <v>205</v>
      </c>
      <c r="AL485" s="9" t="s">
        <v>39</v>
      </c>
      <c r="AM485" s="9"/>
      <c r="AN485" s="9">
        <v>120</v>
      </c>
      <c r="AO485" s="9">
        <v>136</v>
      </c>
      <c r="AP485" s="9">
        <v>139</v>
      </c>
      <c r="AQ485" s="9">
        <v>146</v>
      </c>
      <c r="AR485" s="9">
        <v>139</v>
      </c>
      <c r="AS485" s="9">
        <v>150</v>
      </c>
      <c r="AT485" s="9">
        <v>0</v>
      </c>
      <c r="AU485" s="9">
        <v>14</v>
      </c>
      <c r="AV485" s="9">
        <v>27</v>
      </c>
      <c r="AW485" s="9">
        <v>24</v>
      </c>
      <c r="AX485" s="9">
        <v>22</v>
      </c>
      <c r="AY485" s="9">
        <v>0</v>
      </c>
      <c r="AZ485" s="9">
        <v>8</v>
      </c>
    </row>
    <row r="486" spans="2:52">
      <c r="B486" t="str">
        <f t="shared" si="35"/>
        <v>Jun</v>
      </c>
      <c r="C486" s="43">
        <f t="shared" si="36"/>
        <v>46194</v>
      </c>
      <c r="D486" s="44">
        <f t="shared" si="37"/>
        <v>46191</v>
      </c>
      <c r="E486" s="9" t="s">
        <v>40</v>
      </c>
      <c r="F486">
        <f t="shared" si="38"/>
        <v>0</v>
      </c>
      <c r="G486">
        <f t="shared" si="39"/>
        <v>-63</v>
      </c>
      <c r="AJ486" s="40">
        <v>46191</v>
      </c>
      <c r="AK486" s="9" t="s">
        <v>205</v>
      </c>
      <c r="AL486" s="9" t="s">
        <v>40</v>
      </c>
      <c r="AM486" s="9"/>
      <c r="AN486" s="9">
        <v>18</v>
      </c>
      <c r="AO486" s="9">
        <v>28</v>
      </c>
      <c r="AP486" s="9">
        <v>21</v>
      </c>
      <c r="AQ486" s="9">
        <v>27</v>
      </c>
      <c r="AR486" s="9">
        <v>91</v>
      </c>
      <c r="AS486" s="9">
        <v>85</v>
      </c>
      <c r="AT486" s="9">
        <v>94</v>
      </c>
      <c r="AU486" s="9">
        <v>101</v>
      </c>
      <c r="AV486" s="9">
        <v>104</v>
      </c>
      <c r="AW486" s="9">
        <v>112</v>
      </c>
      <c r="AX486" s="9">
        <v>166</v>
      </c>
      <c r="AY486" s="9">
        <v>170</v>
      </c>
      <c r="AZ486" s="9">
        <v>177</v>
      </c>
    </row>
    <row r="487" spans="2:52">
      <c r="B487" t="str">
        <f t="shared" si="35"/>
        <v>Jun</v>
      </c>
      <c r="C487" s="43">
        <f t="shared" si="36"/>
        <v>46194</v>
      </c>
      <c r="D487" s="44">
        <f t="shared" si="37"/>
        <v>46191</v>
      </c>
      <c r="E487" s="9" t="s">
        <v>41</v>
      </c>
      <c r="F487">
        <f t="shared" si="38"/>
        <v>0</v>
      </c>
      <c r="G487">
        <f t="shared" si="39"/>
        <v>-17</v>
      </c>
      <c r="AJ487" s="40">
        <v>46191</v>
      </c>
      <c r="AK487" s="9" t="s">
        <v>41</v>
      </c>
      <c r="AL487" s="9" t="s">
        <v>41</v>
      </c>
      <c r="AM487" s="9"/>
      <c r="AN487" s="9">
        <v>36</v>
      </c>
      <c r="AO487" s="9">
        <v>41</v>
      </c>
      <c r="AP487" s="9">
        <v>92</v>
      </c>
      <c r="AQ487" s="9">
        <v>94</v>
      </c>
      <c r="AR487" s="9">
        <v>95</v>
      </c>
      <c r="AS487" s="9">
        <v>100</v>
      </c>
      <c r="AT487" s="9">
        <v>103</v>
      </c>
      <c r="AU487" s="9">
        <v>0</v>
      </c>
      <c r="AV487" s="9">
        <v>1</v>
      </c>
      <c r="AW487" s="9">
        <v>20</v>
      </c>
      <c r="AX487" s="9">
        <v>0</v>
      </c>
      <c r="AY487" s="9">
        <v>1</v>
      </c>
      <c r="AZ487" s="9">
        <v>0</v>
      </c>
    </row>
    <row r="488" spans="2:52">
      <c r="B488" t="str">
        <f t="shared" si="35"/>
        <v>Jun</v>
      </c>
      <c r="C488" s="43">
        <f t="shared" si="36"/>
        <v>46194</v>
      </c>
      <c r="D488" s="44">
        <f t="shared" si="37"/>
        <v>46191</v>
      </c>
      <c r="E488" s="9" t="s">
        <v>45</v>
      </c>
      <c r="F488">
        <f t="shared" si="38"/>
        <v>0</v>
      </c>
      <c r="G488">
        <f t="shared" si="39"/>
        <v>-47</v>
      </c>
      <c r="AJ488" s="40">
        <v>46191</v>
      </c>
      <c r="AK488" s="9" t="s">
        <v>202</v>
      </c>
      <c r="AL488" s="9" t="s">
        <v>45</v>
      </c>
      <c r="AM488" s="9"/>
      <c r="AN488" s="9">
        <v>23</v>
      </c>
      <c r="AO488" s="9">
        <v>0</v>
      </c>
      <c r="AP488" s="9">
        <v>0</v>
      </c>
      <c r="AQ488" s="9">
        <v>28</v>
      </c>
      <c r="AR488" s="9">
        <v>26</v>
      </c>
      <c r="AS488" s="9">
        <v>26</v>
      </c>
      <c r="AT488" s="9">
        <v>0</v>
      </c>
      <c r="AU488" s="9">
        <v>0</v>
      </c>
      <c r="AV488" s="9">
        <v>0</v>
      </c>
      <c r="AW488" s="9">
        <v>0</v>
      </c>
      <c r="AX488" s="9">
        <v>15</v>
      </c>
      <c r="AY488" s="9">
        <v>21</v>
      </c>
      <c r="AZ488" s="9">
        <v>0</v>
      </c>
    </row>
    <row r="489" spans="2:52">
      <c r="B489" t="str">
        <f t="shared" si="35"/>
        <v>Jun</v>
      </c>
      <c r="C489" s="43">
        <f t="shared" si="36"/>
        <v>46194</v>
      </c>
      <c r="D489" s="44">
        <f t="shared" si="37"/>
        <v>46191</v>
      </c>
      <c r="E489" s="9" t="s">
        <v>46</v>
      </c>
      <c r="F489">
        <f t="shared" si="38"/>
        <v>0</v>
      </c>
      <c r="G489">
        <f t="shared" si="39"/>
        <v>-17</v>
      </c>
      <c r="AJ489" s="40">
        <v>46191</v>
      </c>
      <c r="AK489" s="9" t="s">
        <v>202</v>
      </c>
      <c r="AL489" s="9" t="s">
        <v>46</v>
      </c>
      <c r="AM489" s="9"/>
      <c r="AN489" s="9">
        <v>37</v>
      </c>
      <c r="AO489" s="9">
        <v>41</v>
      </c>
      <c r="AP489" s="9">
        <v>0</v>
      </c>
      <c r="AQ489" s="9">
        <v>1</v>
      </c>
      <c r="AR489" s="9">
        <v>0</v>
      </c>
      <c r="AS489" s="9">
        <v>11</v>
      </c>
      <c r="AT489" s="9">
        <v>10</v>
      </c>
      <c r="AU489" s="9">
        <v>8</v>
      </c>
      <c r="AV489" s="9">
        <v>0</v>
      </c>
      <c r="AW489" s="9">
        <v>0</v>
      </c>
      <c r="AX489" s="9">
        <v>4</v>
      </c>
      <c r="AY489" s="9">
        <v>6</v>
      </c>
      <c r="AZ489" s="9">
        <v>0</v>
      </c>
    </row>
    <row r="490" spans="2:52">
      <c r="B490" t="str">
        <f t="shared" si="35"/>
        <v>Jun</v>
      </c>
      <c r="C490" s="43">
        <f t="shared" si="36"/>
        <v>46194</v>
      </c>
      <c r="D490" s="44">
        <f t="shared" si="37"/>
        <v>46191</v>
      </c>
      <c r="E490" s="9" t="s">
        <v>47</v>
      </c>
      <c r="F490">
        <f t="shared" si="38"/>
        <v>0</v>
      </c>
      <c r="G490">
        <f t="shared" si="39"/>
        <v>15</v>
      </c>
      <c r="AJ490" s="40">
        <v>46191</v>
      </c>
      <c r="AK490" s="9" t="s">
        <v>202</v>
      </c>
      <c r="AL490" s="9" t="s">
        <v>47</v>
      </c>
      <c r="AM490" s="9"/>
      <c r="AN490" s="9">
        <v>24</v>
      </c>
      <c r="AO490" s="9">
        <v>21</v>
      </c>
      <c r="AP490" s="9">
        <v>0</v>
      </c>
      <c r="AQ490" s="9">
        <v>12</v>
      </c>
      <c r="AR490" s="9">
        <v>13</v>
      </c>
      <c r="AS490" s="9">
        <v>12</v>
      </c>
      <c r="AT490" s="9">
        <v>15</v>
      </c>
      <c r="AU490" s="9">
        <v>0</v>
      </c>
      <c r="AV490" s="9">
        <v>0</v>
      </c>
      <c r="AW490" s="9">
        <v>0</v>
      </c>
      <c r="AX490" s="9">
        <v>10</v>
      </c>
      <c r="AY490" s="9">
        <v>15</v>
      </c>
      <c r="AZ490" s="9">
        <v>15</v>
      </c>
    </row>
    <row r="491" spans="2:52">
      <c r="B491" t="str">
        <f t="shared" si="35"/>
        <v>Jun</v>
      </c>
      <c r="C491" s="43">
        <f t="shared" si="36"/>
        <v>46194</v>
      </c>
      <c r="D491" s="44">
        <f t="shared" si="37"/>
        <v>46191</v>
      </c>
      <c r="E491" s="9" t="s">
        <v>206</v>
      </c>
      <c r="F491">
        <f t="shared" si="38"/>
        <v>0</v>
      </c>
      <c r="G491">
        <f t="shared" si="39"/>
        <v>4</v>
      </c>
      <c r="AJ491" s="40">
        <v>46191</v>
      </c>
      <c r="AK491" s="9" t="s">
        <v>43</v>
      </c>
      <c r="AL491" s="9" t="s">
        <v>206</v>
      </c>
      <c r="AM491" s="9"/>
      <c r="AN491" s="9">
        <v>65</v>
      </c>
      <c r="AO491" s="9">
        <v>0</v>
      </c>
      <c r="AP491" s="9">
        <v>0</v>
      </c>
      <c r="AQ491" s="9">
        <v>0</v>
      </c>
      <c r="AR491" s="9">
        <v>9</v>
      </c>
      <c r="AS491" s="9">
        <v>6</v>
      </c>
      <c r="AT491" s="9">
        <v>0</v>
      </c>
      <c r="AU491" s="9">
        <v>30</v>
      </c>
      <c r="AV491" s="9">
        <v>27</v>
      </c>
      <c r="AW491" s="9">
        <v>21</v>
      </c>
      <c r="AX491" s="9">
        <v>15</v>
      </c>
      <c r="AY491" s="9">
        <v>7</v>
      </c>
      <c r="AZ491" s="9">
        <v>4</v>
      </c>
    </row>
    <row r="492" spans="2:52">
      <c r="B492" t="str">
        <f t="shared" si="35"/>
        <v>Jun</v>
      </c>
      <c r="C492" s="43">
        <f t="shared" si="36"/>
        <v>46194</v>
      </c>
      <c r="D492" s="44">
        <f t="shared" si="37"/>
        <v>46191</v>
      </c>
      <c r="E492" s="9" t="s">
        <v>207</v>
      </c>
      <c r="F492">
        <f t="shared" si="38"/>
        <v>0</v>
      </c>
      <c r="G492">
        <f t="shared" si="39"/>
        <v>-3</v>
      </c>
      <c r="AJ492" s="40">
        <v>46191</v>
      </c>
      <c r="AK492" s="9" t="s">
        <v>203</v>
      </c>
      <c r="AL492" s="9" t="s">
        <v>207</v>
      </c>
      <c r="AM492" s="9"/>
      <c r="AN492" s="9">
        <v>25</v>
      </c>
      <c r="AO492" s="9">
        <v>22</v>
      </c>
      <c r="AP492" s="9">
        <v>23</v>
      </c>
      <c r="AQ492" s="9">
        <v>46</v>
      </c>
      <c r="AR492" s="9">
        <v>51</v>
      </c>
      <c r="AS492" s="9">
        <v>54</v>
      </c>
      <c r="AT492" s="9">
        <v>56</v>
      </c>
      <c r="AU492" s="9">
        <v>0</v>
      </c>
      <c r="AV492" s="9">
        <v>42</v>
      </c>
      <c r="AW492" s="9">
        <v>41</v>
      </c>
      <c r="AX492" s="9">
        <v>50</v>
      </c>
      <c r="AY492" s="9">
        <v>49</v>
      </c>
      <c r="AZ492" s="9">
        <v>0</v>
      </c>
    </row>
    <row r="493" spans="2:52">
      <c r="B493" t="str">
        <f t="shared" si="35"/>
        <v>Jun</v>
      </c>
      <c r="C493" s="43">
        <f t="shared" si="36"/>
        <v>46194</v>
      </c>
      <c r="D493" s="44">
        <f t="shared" si="37"/>
        <v>46191</v>
      </c>
      <c r="E493" s="9" t="s">
        <v>42</v>
      </c>
      <c r="F493">
        <f t="shared" si="38"/>
        <v>0</v>
      </c>
      <c r="G493">
        <f t="shared" si="39"/>
        <v>-16</v>
      </c>
      <c r="AJ493" s="40">
        <v>46191</v>
      </c>
      <c r="AK493" s="9" t="s">
        <v>42</v>
      </c>
      <c r="AL493" s="9" t="s">
        <v>42</v>
      </c>
      <c r="AM493" s="9"/>
      <c r="AN493" s="9">
        <v>40</v>
      </c>
      <c r="AO493" s="9">
        <v>38</v>
      </c>
      <c r="AP493" s="9">
        <v>44</v>
      </c>
      <c r="AQ493" s="9">
        <v>40</v>
      </c>
      <c r="AR493" s="9">
        <v>0</v>
      </c>
      <c r="AS493" s="9">
        <v>0</v>
      </c>
      <c r="AT493" s="9">
        <v>0</v>
      </c>
      <c r="AU493" s="9">
        <v>9</v>
      </c>
      <c r="AV493" s="9">
        <v>6</v>
      </c>
      <c r="AW493" s="9">
        <v>9</v>
      </c>
      <c r="AX493" s="9">
        <v>7</v>
      </c>
      <c r="AY493" s="9">
        <v>9</v>
      </c>
      <c r="AZ493" s="9">
        <v>0</v>
      </c>
    </row>
    <row r="494" spans="2:52">
      <c r="B494" t="str">
        <f t="shared" si="35"/>
        <v>Jun</v>
      </c>
      <c r="C494" s="43">
        <f t="shared" si="36"/>
        <v>46194</v>
      </c>
      <c r="D494" s="44">
        <f t="shared" si="37"/>
        <v>46192</v>
      </c>
      <c r="E494" s="9" t="s">
        <v>31</v>
      </c>
      <c r="F494">
        <f t="shared" si="38"/>
        <v>0</v>
      </c>
      <c r="G494">
        <f t="shared" si="39"/>
        <v>91</v>
      </c>
      <c r="AJ494" s="40">
        <v>46192</v>
      </c>
      <c r="AK494" s="9" t="s">
        <v>204</v>
      </c>
      <c r="AL494" s="9" t="s">
        <v>31</v>
      </c>
      <c r="AM494" s="9"/>
      <c r="AN494" s="9">
        <v>81</v>
      </c>
      <c r="AO494" s="9">
        <v>63</v>
      </c>
      <c r="AP494" s="9">
        <v>59</v>
      </c>
      <c r="AQ494" s="9">
        <v>49</v>
      </c>
      <c r="AR494" s="9">
        <v>51</v>
      </c>
      <c r="AS494" s="9">
        <v>58</v>
      </c>
      <c r="AT494" s="9">
        <v>77</v>
      </c>
      <c r="AU494" s="9">
        <v>148</v>
      </c>
      <c r="AV494" s="9">
        <v>154</v>
      </c>
      <c r="AW494" s="9">
        <v>166</v>
      </c>
      <c r="AX494" s="9">
        <v>157</v>
      </c>
      <c r="AY494" s="9">
        <v>172</v>
      </c>
      <c r="AZ494" s="9">
        <v>170</v>
      </c>
    </row>
    <row r="495" spans="2:52">
      <c r="B495" t="str">
        <f t="shared" si="35"/>
        <v>Jun</v>
      </c>
      <c r="C495" s="43">
        <f t="shared" si="36"/>
        <v>46194</v>
      </c>
      <c r="D495" s="44">
        <f t="shared" si="37"/>
        <v>46192</v>
      </c>
      <c r="E495" s="9" t="s">
        <v>39</v>
      </c>
      <c r="F495">
        <f t="shared" si="38"/>
        <v>0</v>
      </c>
      <c r="G495">
        <f t="shared" si="39"/>
        <v>90</v>
      </c>
      <c r="AJ495" s="40">
        <v>46192</v>
      </c>
      <c r="AK495" s="9" t="s">
        <v>205</v>
      </c>
      <c r="AL495" s="9" t="s">
        <v>39</v>
      </c>
      <c r="AM495" s="9"/>
      <c r="AN495" s="9">
        <v>95</v>
      </c>
      <c r="AO495" s="9">
        <v>109</v>
      </c>
      <c r="AP495" s="9">
        <v>103</v>
      </c>
      <c r="AQ495" s="9">
        <v>103</v>
      </c>
      <c r="AR495" s="9">
        <v>89</v>
      </c>
      <c r="AS495" s="9">
        <v>84</v>
      </c>
      <c r="AT495" s="9">
        <v>95</v>
      </c>
      <c r="AU495" s="9">
        <v>86</v>
      </c>
      <c r="AV495" s="9">
        <v>100</v>
      </c>
      <c r="AW495" s="9">
        <v>113</v>
      </c>
      <c r="AX495" s="9">
        <v>121</v>
      </c>
      <c r="AY495" s="9">
        <v>126</v>
      </c>
      <c r="AZ495" s="9">
        <v>98</v>
      </c>
    </row>
    <row r="496" spans="2:52">
      <c r="B496" t="str">
        <f t="shared" si="35"/>
        <v>Jun</v>
      </c>
      <c r="C496" s="43">
        <f t="shared" si="36"/>
        <v>46194</v>
      </c>
      <c r="D496" s="44">
        <f t="shared" si="37"/>
        <v>46192</v>
      </c>
      <c r="E496" s="9" t="s">
        <v>40</v>
      </c>
      <c r="F496">
        <f t="shared" si="38"/>
        <v>0</v>
      </c>
      <c r="G496">
        <f t="shared" si="39"/>
        <v>-89</v>
      </c>
      <c r="AJ496" s="40">
        <v>46192</v>
      </c>
      <c r="AK496" s="9" t="s">
        <v>205</v>
      </c>
      <c r="AL496" s="9" t="s">
        <v>40</v>
      </c>
      <c r="AM496" s="9"/>
      <c r="AN496" s="9">
        <v>42</v>
      </c>
      <c r="AO496" s="9">
        <v>32</v>
      </c>
      <c r="AP496" s="9">
        <v>25</v>
      </c>
      <c r="AQ496" s="9">
        <v>17</v>
      </c>
      <c r="AR496" s="9">
        <v>20</v>
      </c>
      <c r="AS496" s="9">
        <v>11</v>
      </c>
      <c r="AT496" s="9">
        <v>20</v>
      </c>
      <c r="AU496" s="9">
        <v>0</v>
      </c>
      <c r="AV496" s="9">
        <v>7</v>
      </c>
      <c r="AW496" s="9">
        <v>17</v>
      </c>
      <c r="AX496" s="9">
        <v>26</v>
      </c>
      <c r="AY496" s="9">
        <v>82</v>
      </c>
      <c r="AZ496" s="9">
        <v>88</v>
      </c>
    </row>
    <row r="497" spans="2:52">
      <c r="B497" t="str">
        <f t="shared" si="35"/>
        <v>Jun</v>
      </c>
      <c r="C497" s="43">
        <f t="shared" si="36"/>
        <v>46194</v>
      </c>
      <c r="D497" s="44">
        <f t="shared" si="37"/>
        <v>46192</v>
      </c>
      <c r="E497" s="9" t="s">
        <v>41</v>
      </c>
      <c r="F497">
        <f t="shared" si="38"/>
        <v>0</v>
      </c>
      <c r="G497">
        <f t="shared" si="39"/>
        <v>50</v>
      </c>
      <c r="AJ497" s="40">
        <v>46192</v>
      </c>
      <c r="AK497" s="9" t="s">
        <v>41</v>
      </c>
      <c r="AL497" s="9" t="s">
        <v>41</v>
      </c>
      <c r="AM497" s="9"/>
      <c r="AN497" s="9">
        <v>0</v>
      </c>
      <c r="AO497" s="9">
        <v>2</v>
      </c>
      <c r="AP497" s="9">
        <v>7</v>
      </c>
      <c r="AQ497" s="9">
        <v>5</v>
      </c>
      <c r="AR497" s="9">
        <v>66</v>
      </c>
      <c r="AS497" s="9">
        <v>71</v>
      </c>
      <c r="AT497" s="9">
        <v>67</v>
      </c>
      <c r="AU497" s="9">
        <v>64</v>
      </c>
      <c r="AV497" s="9">
        <v>64</v>
      </c>
      <c r="AW497" s="9">
        <v>64</v>
      </c>
      <c r="AX497" s="9">
        <v>62</v>
      </c>
      <c r="AY497" s="9">
        <v>49</v>
      </c>
      <c r="AZ497" s="9">
        <v>50</v>
      </c>
    </row>
    <row r="498" spans="2:52">
      <c r="B498" t="str">
        <f t="shared" si="35"/>
        <v>Jun</v>
      </c>
      <c r="C498" s="43">
        <f t="shared" si="36"/>
        <v>46194</v>
      </c>
      <c r="D498" s="44">
        <f t="shared" si="37"/>
        <v>46192</v>
      </c>
      <c r="E498" s="9" t="s">
        <v>45</v>
      </c>
      <c r="F498">
        <f t="shared" si="38"/>
        <v>0</v>
      </c>
      <c r="G498">
        <f t="shared" si="39"/>
        <v>24</v>
      </c>
      <c r="AJ498" s="40">
        <v>46192</v>
      </c>
      <c r="AK498" s="9" t="s">
        <v>202</v>
      </c>
      <c r="AL498" s="9" t="s">
        <v>45</v>
      </c>
      <c r="AM498" s="9"/>
      <c r="AN498" s="9">
        <v>28</v>
      </c>
      <c r="AO498" s="9">
        <v>26</v>
      </c>
      <c r="AP498" s="9">
        <v>22</v>
      </c>
      <c r="AQ498" s="9">
        <v>0</v>
      </c>
      <c r="AR498" s="9">
        <v>8</v>
      </c>
      <c r="AS498" s="9">
        <v>2</v>
      </c>
      <c r="AT498" s="9">
        <v>10</v>
      </c>
      <c r="AU498" s="9">
        <v>12</v>
      </c>
      <c r="AV498" s="9">
        <v>6</v>
      </c>
      <c r="AW498" s="9">
        <v>22</v>
      </c>
      <c r="AX498" s="9">
        <v>0</v>
      </c>
      <c r="AY498" s="9">
        <v>0</v>
      </c>
      <c r="AZ498" s="9">
        <v>24</v>
      </c>
    </row>
    <row r="499" spans="2:52">
      <c r="B499" t="str">
        <f t="shared" si="35"/>
        <v>Jun</v>
      </c>
      <c r="C499" s="43">
        <f t="shared" si="36"/>
        <v>46194</v>
      </c>
      <c r="D499" s="44">
        <f t="shared" si="37"/>
        <v>46192</v>
      </c>
      <c r="E499" s="9" t="s">
        <v>46</v>
      </c>
      <c r="F499">
        <f t="shared" si="38"/>
        <v>0</v>
      </c>
      <c r="G499">
        <f t="shared" si="39"/>
        <v>0</v>
      </c>
      <c r="AJ499" s="40">
        <v>46192</v>
      </c>
      <c r="AK499" s="9" t="s">
        <v>202</v>
      </c>
      <c r="AL499" s="9" t="s">
        <v>46</v>
      </c>
      <c r="AM499" s="9"/>
      <c r="AN499" s="9">
        <v>0</v>
      </c>
      <c r="AO499" s="9">
        <v>2</v>
      </c>
      <c r="AP499" s="9">
        <v>0</v>
      </c>
      <c r="AQ499" s="9">
        <v>10</v>
      </c>
      <c r="AR499" s="9">
        <v>6</v>
      </c>
      <c r="AS499" s="9">
        <v>3</v>
      </c>
      <c r="AT499" s="9">
        <v>0</v>
      </c>
      <c r="AU499" s="9">
        <v>0</v>
      </c>
      <c r="AV499" s="9">
        <v>5</v>
      </c>
      <c r="AW499" s="9">
        <v>6</v>
      </c>
      <c r="AX499" s="9">
        <v>0</v>
      </c>
      <c r="AY499" s="9">
        <v>3</v>
      </c>
      <c r="AZ499" s="9">
        <v>0</v>
      </c>
    </row>
    <row r="500" spans="2:52">
      <c r="B500" t="str">
        <f t="shared" si="35"/>
        <v>Jun</v>
      </c>
      <c r="C500" s="43">
        <f t="shared" si="36"/>
        <v>46194</v>
      </c>
      <c r="D500" s="44">
        <f t="shared" si="37"/>
        <v>46192</v>
      </c>
      <c r="E500" s="9" t="s">
        <v>47</v>
      </c>
      <c r="F500">
        <f t="shared" si="38"/>
        <v>0</v>
      </c>
      <c r="G500">
        <f t="shared" si="39"/>
        <v>-4</v>
      </c>
      <c r="AJ500" s="40">
        <v>46192</v>
      </c>
      <c r="AK500" s="9" t="s">
        <v>202</v>
      </c>
      <c r="AL500" s="9" t="s">
        <v>47</v>
      </c>
      <c r="AM500" s="9"/>
      <c r="AN500" s="9">
        <v>10</v>
      </c>
      <c r="AO500" s="9">
        <v>14</v>
      </c>
      <c r="AP500" s="9">
        <v>11</v>
      </c>
      <c r="AQ500" s="9">
        <v>12</v>
      </c>
      <c r="AR500" s="9">
        <v>11</v>
      </c>
      <c r="AS500" s="9">
        <v>13</v>
      </c>
      <c r="AT500" s="9">
        <v>11</v>
      </c>
      <c r="AU500" s="9">
        <v>14</v>
      </c>
      <c r="AV500" s="9">
        <v>18</v>
      </c>
      <c r="AW500" s="9">
        <v>18</v>
      </c>
      <c r="AX500" s="9">
        <v>18</v>
      </c>
      <c r="AY500" s="9">
        <v>15</v>
      </c>
      <c r="AZ500" s="9">
        <v>11</v>
      </c>
    </row>
    <row r="501" spans="2:52">
      <c r="B501" t="str">
        <f t="shared" si="35"/>
        <v>Jun</v>
      </c>
      <c r="C501" s="43">
        <f t="shared" si="36"/>
        <v>46194</v>
      </c>
      <c r="D501" s="44">
        <f t="shared" si="37"/>
        <v>46192</v>
      </c>
      <c r="E501" s="9" t="s">
        <v>206</v>
      </c>
      <c r="F501">
        <f t="shared" si="38"/>
        <v>0</v>
      </c>
      <c r="G501">
        <f t="shared" si="39"/>
        <v>-4</v>
      </c>
      <c r="AJ501" s="40">
        <v>46192</v>
      </c>
      <c r="AK501" s="9" t="s">
        <v>43</v>
      </c>
      <c r="AL501" s="9" t="s">
        <v>206</v>
      </c>
      <c r="AM501" s="9"/>
      <c r="AN501" s="9">
        <v>16</v>
      </c>
      <c r="AO501" s="9">
        <v>47</v>
      </c>
      <c r="AP501" s="9">
        <v>0</v>
      </c>
      <c r="AQ501" s="9">
        <v>34</v>
      </c>
      <c r="AR501" s="9">
        <v>0</v>
      </c>
      <c r="AS501" s="9">
        <v>0</v>
      </c>
      <c r="AT501" s="9">
        <v>18</v>
      </c>
      <c r="AU501" s="9">
        <v>69</v>
      </c>
      <c r="AV501" s="9">
        <v>67</v>
      </c>
      <c r="AW501" s="9">
        <v>66</v>
      </c>
      <c r="AX501" s="9">
        <v>65</v>
      </c>
      <c r="AY501" s="9">
        <v>0</v>
      </c>
      <c r="AZ501" s="9">
        <v>0</v>
      </c>
    </row>
    <row r="502" spans="2:52">
      <c r="B502" t="str">
        <f t="shared" si="35"/>
        <v>Jun</v>
      </c>
      <c r="C502" s="43">
        <f t="shared" si="36"/>
        <v>46194</v>
      </c>
      <c r="D502" s="44">
        <f t="shared" si="37"/>
        <v>46192</v>
      </c>
      <c r="E502" s="9" t="s">
        <v>207</v>
      </c>
      <c r="F502">
        <f t="shared" si="38"/>
        <v>0</v>
      </c>
      <c r="G502">
        <f t="shared" si="39"/>
        <v>77</v>
      </c>
      <c r="AJ502" s="40">
        <v>46192</v>
      </c>
      <c r="AK502" s="9" t="s">
        <v>203</v>
      </c>
      <c r="AL502" s="9" t="s">
        <v>207</v>
      </c>
      <c r="AM502" s="9"/>
      <c r="AN502" s="9">
        <v>0</v>
      </c>
      <c r="AO502" s="9">
        <v>0</v>
      </c>
      <c r="AP502" s="9">
        <v>13</v>
      </c>
      <c r="AQ502" s="9">
        <v>52</v>
      </c>
      <c r="AR502" s="9">
        <v>52</v>
      </c>
      <c r="AS502" s="9">
        <v>61</v>
      </c>
      <c r="AT502" s="9">
        <v>67</v>
      </c>
      <c r="AU502" s="9">
        <v>75</v>
      </c>
      <c r="AV502" s="9">
        <v>67</v>
      </c>
      <c r="AW502" s="9">
        <v>64</v>
      </c>
      <c r="AX502" s="9">
        <v>69</v>
      </c>
      <c r="AY502" s="9">
        <v>70</v>
      </c>
      <c r="AZ502" s="9">
        <v>77</v>
      </c>
    </row>
    <row r="503" spans="2:52">
      <c r="B503" t="str">
        <f t="shared" si="35"/>
        <v>Jun</v>
      </c>
      <c r="C503" s="43">
        <f t="shared" si="36"/>
        <v>46194</v>
      </c>
      <c r="D503" s="44">
        <f t="shared" si="37"/>
        <v>46192</v>
      </c>
      <c r="E503" s="9" t="s">
        <v>42</v>
      </c>
      <c r="F503">
        <f t="shared" si="38"/>
        <v>0</v>
      </c>
      <c r="G503">
        <f t="shared" si="39"/>
        <v>0</v>
      </c>
      <c r="AJ503" s="40">
        <v>46192</v>
      </c>
      <c r="AK503" s="9" t="s">
        <v>42</v>
      </c>
      <c r="AL503" s="9" t="s">
        <v>42</v>
      </c>
      <c r="AM503" s="9"/>
      <c r="AN503" s="9">
        <v>39</v>
      </c>
      <c r="AO503" s="9">
        <v>0</v>
      </c>
      <c r="AP503" s="9">
        <v>14</v>
      </c>
      <c r="AQ503" s="9">
        <v>8</v>
      </c>
      <c r="AR503" s="9">
        <v>28</v>
      </c>
      <c r="AS503" s="9">
        <v>35</v>
      </c>
      <c r="AT503" s="9">
        <v>0</v>
      </c>
      <c r="AU503" s="9">
        <v>2</v>
      </c>
      <c r="AV503" s="9">
        <v>2</v>
      </c>
      <c r="AW503" s="9">
        <v>0</v>
      </c>
      <c r="AX503" s="9">
        <v>6</v>
      </c>
      <c r="AY503" s="9">
        <v>0</v>
      </c>
      <c r="AZ503" s="9">
        <v>0</v>
      </c>
    </row>
    <row r="504" spans="2:52">
      <c r="B504" t="str">
        <f t="shared" si="35"/>
        <v>Jun</v>
      </c>
      <c r="C504" s="43">
        <f t="shared" si="36"/>
        <v>46194</v>
      </c>
      <c r="D504" s="44">
        <f t="shared" si="37"/>
        <v>46193</v>
      </c>
      <c r="E504" s="9" t="s">
        <v>31</v>
      </c>
      <c r="F504">
        <f t="shared" si="38"/>
        <v>0</v>
      </c>
      <c r="G504">
        <f t="shared" si="39"/>
        <v>-170</v>
      </c>
      <c r="AJ504" s="40">
        <v>46193</v>
      </c>
      <c r="AK504" s="9" t="s">
        <v>204</v>
      </c>
      <c r="AL504" s="9" t="s">
        <v>31</v>
      </c>
      <c r="AM504" s="9"/>
      <c r="AN504" s="9">
        <v>67</v>
      </c>
      <c r="AO504" s="9">
        <v>64</v>
      </c>
      <c r="AP504" s="9">
        <v>78</v>
      </c>
      <c r="AQ504" s="9">
        <v>81</v>
      </c>
      <c r="AR504" s="9">
        <v>95</v>
      </c>
      <c r="AS504" s="9">
        <v>112</v>
      </c>
      <c r="AT504" s="9">
        <v>131</v>
      </c>
      <c r="AU504" s="9">
        <v>114</v>
      </c>
      <c r="AV504" s="9">
        <v>138</v>
      </c>
      <c r="AW504" s="9">
        <v>149</v>
      </c>
      <c r="AX504" s="9">
        <v>169</v>
      </c>
      <c r="AY504" s="9">
        <v>186</v>
      </c>
      <c r="AZ504" s="9">
        <v>0</v>
      </c>
    </row>
    <row r="505" spans="2:52">
      <c r="B505" t="str">
        <f t="shared" si="35"/>
        <v>Jun</v>
      </c>
      <c r="C505" s="43">
        <f t="shared" si="36"/>
        <v>46194</v>
      </c>
      <c r="D505" s="44">
        <f t="shared" si="37"/>
        <v>46193</v>
      </c>
      <c r="E505" s="9" t="s">
        <v>39</v>
      </c>
      <c r="F505">
        <f t="shared" si="38"/>
        <v>0</v>
      </c>
      <c r="G505">
        <f t="shared" si="39"/>
        <v>40</v>
      </c>
      <c r="AJ505" s="40">
        <v>46193</v>
      </c>
      <c r="AK505" s="9" t="s">
        <v>205</v>
      </c>
      <c r="AL505" s="9" t="s">
        <v>39</v>
      </c>
      <c r="AM505" s="9"/>
      <c r="AN505" s="9">
        <v>67</v>
      </c>
      <c r="AO505" s="9">
        <v>78</v>
      </c>
      <c r="AP505" s="9">
        <v>79</v>
      </c>
      <c r="AQ505" s="9">
        <v>0</v>
      </c>
      <c r="AR505" s="9">
        <v>0</v>
      </c>
      <c r="AS505" s="9">
        <v>60</v>
      </c>
      <c r="AT505" s="9">
        <v>61</v>
      </c>
      <c r="AU505" s="9">
        <v>65</v>
      </c>
      <c r="AV505" s="9">
        <v>13</v>
      </c>
      <c r="AW505" s="9">
        <v>70</v>
      </c>
      <c r="AX505" s="9">
        <v>76</v>
      </c>
      <c r="AY505" s="9">
        <v>137</v>
      </c>
      <c r="AZ505" s="9">
        <v>138</v>
      </c>
    </row>
    <row r="506" spans="2:52">
      <c r="B506" t="str">
        <f t="shared" si="35"/>
        <v>Jun</v>
      </c>
      <c r="C506" s="43">
        <f t="shared" si="36"/>
        <v>46194</v>
      </c>
      <c r="D506" s="44">
        <f t="shared" si="37"/>
        <v>46193</v>
      </c>
      <c r="E506" s="9" t="s">
        <v>40</v>
      </c>
      <c r="F506">
        <f t="shared" si="38"/>
        <v>0</v>
      </c>
      <c r="G506">
        <f t="shared" si="39"/>
        <v>-51</v>
      </c>
      <c r="AJ506" s="40">
        <v>46193</v>
      </c>
      <c r="AK506" s="9" t="s">
        <v>205</v>
      </c>
      <c r="AL506" s="9" t="s">
        <v>40</v>
      </c>
      <c r="AM506" s="9"/>
      <c r="AN506" s="9">
        <v>34</v>
      </c>
      <c r="AO506" s="9">
        <v>38</v>
      </c>
      <c r="AP506" s="9">
        <v>28</v>
      </c>
      <c r="AQ506" s="9">
        <v>18</v>
      </c>
      <c r="AR506" s="9">
        <v>16</v>
      </c>
      <c r="AS506" s="9">
        <v>6</v>
      </c>
      <c r="AT506" s="9">
        <v>18</v>
      </c>
      <c r="AU506" s="9">
        <v>9</v>
      </c>
      <c r="AV506" s="9">
        <v>5</v>
      </c>
      <c r="AW506" s="9">
        <v>9</v>
      </c>
      <c r="AX506" s="9">
        <v>0</v>
      </c>
      <c r="AY506" s="9">
        <v>0</v>
      </c>
      <c r="AZ506" s="9">
        <v>37</v>
      </c>
    </row>
    <row r="507" spans="2:52">
      <c r="B507" t="str">
        <f t="shared" si="35"/>
        <v>Jun</v>
      </c>
      <c r="C507" s="43">
        <f t="shared" si="36"/>
        <v>46194</v>
      </c>
      <c r="D507" s="44">
        <f t="shared" si="37"/>
        <v>46193</v>
      </c>
      <c r="E507" s="9" t="s">
        <v>41</v>
      </c>
      <c r="F507">
        <f t="shared" si="38"/>
        <v>0</v>
      </c>
      <c r="G507">
        <f t="shared" si="39"/>
        <v>-26</v>
      </c>
      <c r="AJ507" s="40">
        <v>46193</v>
      </c>
      <c r="AK507" s="9" t="s">
        <v>41</v>
      </c>
      <c r="AL507" s="9" t="s">
        <v>41</v>
      </c>
      <c r="AM507" s="9"/>
      <c r="AN507" s="9">
        <v>32</v>
      </c>
      <c r="AO507" s="9">
        <v>30</v>
      </c>
      <c r="AP507" s="9">
        <v>5</v>
      </c>
      <c r="AQ507" s="9">
        <v>4</v>
      </c>
      <c r="AR507" s="9">
        <v>0</v>
      </c>
      <c r="AS507" s="9">
        <v>0</v>
      </c>
      <c r="AT507" s="9">
        <v>12</v>
      </c>
      <c r="AU507" s="9">
        <v>17</v>
      </c>
      <c r="AV507" s="9">
        <v>14</v>
      </c>
      <c r="AW507" s="9">
        <v>12</v>
      </c>
      <c r="AX507" s="9">
        <v>17</v>
      </c>
      <c r="AY507" s="9">
        <v>22</v>
      </c>
      <c r="AZ507" s="9">
        <v>24</v>
      </c>
    </row>
    <row r="508" spans="2:52">
      <c r="B508" t="str">
        <f t="shared" si="35"/>
        <v>Jun</v>
      </c>
      <c r="C508" s="43">
        <f t="shared" si="36"/>
        <v>46194</v>
      </c>
      <c r="D508" s="44">
        <f t="shared" si="37"/>
        <v>46193</v>
      </c>
      <c r="E508" s="9" t="s">
        <v>45</v>
      </c>
      <c r="F508">
        <f t="shared" si="38"/>
        <v>0</v>
      </c>
      <c r="G508">
        <f t="shared" si="39"/>
        <v>-9</v>
      </c>
      <c r="AJ508" s="40">
        <v>46193</v>
      </c>
      <c r="AK508" s="9" t="s">
        <v>202</v>
      </c>
      <c r="AL508" s="9" t="s">
        <v>45</v>
      </c>
      <c r="AM508" s="9"/>
      <c r="AN508" s="9">
        <v>37</v>
      </c>
      <c r="AO508" s="9">
        <v>40</v>
      </c>
      <c r="AP508" s="9">
        <v>41</v>
      </c>
      <c r="AQ508" s="9">
        <v>49</v>
      </c>
      <c r="AR508" s="9">
        <v>0</v>
      </c>
      <c r="AS508" s="9">
        <v>0</v>
      </c>
      <c r="AT508" s="9">
        <v>2</v>
      </c>
      <c r="AU508" s="9">
        <v>8</v>
      </c>
      <c r="AV508" s="9">
        <v>8</v>
      </c>
      <c r="AW508" s="9">
        <v>11</v>
      </c>
      <c r="AX508" s="9">
        <v>14</v>
      </c>
      <c r="AY508" s="9">
        <v>21</v>
      </c>
      <c r="AZ508" s="9">
        <v>15</v>
      </c>
    </row>
    <row r="509" spans="2:52">
      <c r="B509" t="str">
        <f t="shared" si="35"/>
        <v>Jun</v>
      </c>
      <c r="C509" s="43">
        <f t="shared" si="36"/>
        <v>46194</v>
      </c>
      <c r="D509" s="44">
        <f t="shared" si="37"/>
        <v>46193</v>
      </c>
      <c r="E509" s="9" t="s">
        <v>46</v>
      </c>
      <c r="F509">
        <f t="shared" si="38"/>
        <v>0</v>
      </c>
      <c r="G509">
        <f t="shared" si="39"/>
        <v>24</v>
      </c>
      <c r="AJ509" s="40">
        <v>46193</v>
      </c>
      <c r="AK509" s="9" t="s">
        <v>202</v>
      </c>
      <c r="AL509" s="9" t="s">
        <v>46</v>
      </c>
      <c r="AM509" s="9"/>
      <c r="AN509" s="9">
        <v>0</v>
      </c>
      <c r="AO509" s="9">
        <v>2</v>
      </c>
      <c r="AP509" s="9">
        <v>1</v>
      </c>
      <c r="AQ509" s="9">
        <v>0</v>
      </c>
      <c r="AR509" s="9">
        <v>6</v>
      </c>
      <c r="AS509" s="9">
        <v>0</v>
      </c>
      <c r="AT509" s="9">
        <v>0</v>
      </c>
      <c r="AU509" s="9">
        <v>7</v>
      </c>
      <c r="AV509" s="9">
        <v>11</v>
      </c>
      <c r="AW509" s="9">
        <v>15</v>
      </c>
      <c r="AX509" s="9">
        <v>17</v>
      </c>
      <c r="AY509" s="9">
        <v>19</v>
      </c>
      <c r="AZ509" s="9">
        <v>24</v>
      </c>
    </row>
    <row r="510" spans="2:52">
      <c r="B510" t="str">
        <f t="shared" si="35"/>
        <v>Jun</v>
      </c>
      <c r="C510" s="43">
        <f t="shared" si="36"/>
        <v>46194</v>
      </c>
      <c r="D510" s="44">
        <f t="shared" si="37"/>
        <v>46193</v>
      </c>
      <c r="E510" s="9" t="s">
        <v>47</v>
      </c>
      <c r="F510">
        <f t="shared" si="38"/>
        <v>0</v>
      </c>
      <c r="G510">
        <f t="shared" si="39"/>
        <v>-11</v>
      </c>
      <c r="AJ510" s="40">
        <v>46193</v>
      </c>
      <c r="AK510" s="9" t="s">
        <v>202</v>
      </c>
      <c r="AL510" s="9" t="s">
        <v>47</v>
      </c>
      <c r="AM510" s="9"/>
      <c r="AN510" s="9">
        <v>11</v>
      </c>
      <c r="AO510" s="9">
        <v>9</v>
      </c>
      <c r="AP510" s="9">
        <v>69</v>
      </c>
      <c r="AQ510" s="9">
        <v>0</v>
      </c>
      <c r="AR510" s="9">
        <v>2</v>
      </c>
      <c r="AS510" s="9">
        <v>4</v>
      </c>
      <c r="AT510" s="9">
        <v>6</v>
      </c>
      <c r="AU510" s="9">
        <v>8</v>
      </c>
      <c r="AV510" s="9">
        <v>9</v>
      </c>
      <c r="AW510" s="9">
        <v>0</v>
      </c>
      <c r="AX510" s="9">
        <v>0</v>
      </c>
      <c r="AY510" s="9">
        <v>3</v>
      </c>
      <c r="AZ510" s="9">
        <v>0</v>
      </c>
    </row>
    <row r="511" spans="2:52">
      <c r="B511" t="str">
        <f t="shared" si="35"/>
        <v>Jun</v>
      </c>
      <c r="C511" s="43">
        <f t="shared" si="36"/>
        <v>46194</v>
      </c>
      <c r="D511" s="44">
        <f t="shared" si="37"/>
        <v>46193</v>
      </c>
      <c r="E511" s="9" t="s">
        <v>206</v>
      </c>
      <c r="F511">
        <f t="shared" si="38"/>
        <v>0</v>
      </c>
      <c r="G511">
        <f t="shared" si="39"/>
        <v>25</v>
      </c>
      <c r="AJ511" s="40">
        <v>46193</v>
      </c>
      <c r="AK511" s="9" t="s">
        <v>43</v>
      </c>
      <c r="AL511" s="9" t="s">
        <v>206</v>
      </c>
      <c r="AM511" s="9"/>
      <c r="AN511" s="9">
        <v>36</v>
      </c>
      <c r="AO511" s="9">
        <v>36</v>
      </c>
      <c r="AP511" s="9">
        <v>35</v>
      </c>
      <c r="AQ511" s="9">
        <v>28</v>
      </c>
      <c r="AR511" s="9">
        <v>23</v>
      </c>
      <c r="AS511" s="9">
        <v>44</v>
      </c>
      <c r="AT511" s="9">
        <v>26</v>
      </c>
      <c r="AU511" s="9">
        <v>22</v>
      </c>
      <c r="AV511" s="9">
        <v>0</v>
      </c>
      <c r="AW511" s="9">
        <v>0</v>
      </c>
      <c r="AX511" s="9">
        <v>23</v>
      </c>
      <c r="AY511" s="9">
        <v>29</v>
      </c>
      <c r="AZ511" s="9">
        <v>25</v>
      </c>
    </row>
    <row r="512" spans="2:52">
      <c r="B512" t="str">
        <f t="shared" si="35"/>
        <v>Jun</v>
      </c>
      <c r="C512" s="43">
        <f t="shared" si="36"/>
        <v>46194</v>
      </c>
      <c r="D512" s="44">
        <f t="shared" si="37"/>
        <v>46193</v>
      </c>
      <c r="E512" s="9" t="s">
        <v>207</v>
      </c>
      <c r="F512">
        <f t="shared" si="38"/>
        <v>0</v>
      </c>
      <c r="G512">
        <f t="shared" si="39"/>
        <v>-61</v>
      </c>
      <c r="AJ512" s="40">
        <v>46193</v>
      </c>
      <c r="AK512" s="9" t="s">
        <v>203</v>
      </c>
      <c r="AL512" s="9" t="s">
        <v>207</v>
      </c>
      <c r="AM512" s="9"/>
      <c r="AN512" s="9">
        <v>14</v>
      </c>
      <c r="AO512" s="9">
        <v>0</v>
      </c>
      <c r="AP512" s="9">
        <v>7</v>
      </c>
      <c r="AQ512" s="9">
        <v>0</v>
      </c>
      <c r="AR512" s="9">
        <v>3</v>
      </c>
      <c r="AS512" s="9">
        <v>0</v>
      </c>
      <c r="AT512" s="9">
        <v>0</v>
      </c>
      <c r="AU512" s="9">
        <v>64</v>
      </c>
      <c r="AV512" s="9">
        <v>71</v>
      </c>
      <c r="AW512" s="9">
        <v>0</v>
      </c>
      <c r="AX512" s="9">
        <v>0</v>
      </c>
      <c r="AY512" s="9">
        <v>13</v>
      </c>
      <c r="AZ512" s="9">
        <v>16</v>
      </c>
    </row>
    <row r="513" spans="2:52">
      <c r="B513" t="str">
        <f t="shared" si="35"/>
        <v>Jun</v>
      </c>
      <c r="C513" s="43">
        <f t="shared" si="36"/>
        <v>46194</v>
      </c>
      <c r="D513" s="44">
        <f t="shared" si="37"/>
        <v>46193</v>
      </c>
      <c r="E513" s="9" t="s">
        <v>42</v>
      </c>
      <c r="F513">
        <f t="shared" si="38"/>
        <v>0</v>
      </c>
      <c r="G513">
        <f t="shared" si="39"/>
        <v>42</v>
      </c>
      <c r="AJ513" s="40">
        <v>46193</v>
      </c>
      <c r="AK513" s="9" t="s">
        <v>42</v>
      </c>
      <c r="AL513" s="9" t="s">
        <v>42</v>
      </c>
      <c r="AM513" s="9"/>
      <c r="AN513" s="9">
        <v>10</v>
      </c>
      <c r="AO513" s="9">
        <v>8</v>
      </c>
      <c r="AP513" s="9">
        <v>7</v>
      </c>
      <c r="AQ513" s="9">
        <v>0</v>
      </c>
      <c r="AR513" s="9">
        <v>25</v>
      </c>
      <c r="AS513" s="9">
        <v>26</v>
      </c>
      <c r="AT513" s="9">
        <v>21</v>
      </c>
      <c r="AU513" s="9">
        <v>28</v>
      </c>
      <c r="AV513" s="9">
        <v>24</v>
      </c>
      <c r="AW513" s="9">
        <v>28</v>
      </c>
      <c r="AX513" s="9">
        <v>34</v>
      </c>
      <c r="AY513" s="9">
        <v>38</v>
      </c>
      <c r="AZ513" s="9">
        <v>42</v>
      </c>
    </row>
    <row r="514" spans="2:52">
      <c r="B514" t="str">
        <f t="shared" si="35"/>
        <v>Jun</v>
      </c>
      <c r="C514" s="43">
        <f t="shared" si="36"/>
        <v>46201</v>
      </c>
      <c r="D514" s="44">
        <f t="shared" si="37"/>
        <v>46194</v>
      </c>
      <c r="E514" s="9" t="s">
        <v>31</v>
      </c>
      <c r="F514">
        <f t="shared" si="38"/>
        <v>0</v>
      </c>
      <c r="G514">
        <f t="shared" si="39"/>
        <v>38</v>
      </c>
      <c r="AJ514" s="40">
        <v>46194</v>
      </c>
      <c r="AK514" s="9" t="s">
        <v>204</v>
      </c>
      <c r="AL514" s="9" t="s">
        <v>31</v>
      </c>
      <c r="AM514" s="9"/>
      <c r="AN514" s="9">
        <v>0</v>
      </c>
      <c r="AO514" s="9">
        <v>56</v>
      </c>
      <c r="AP514" s="9">
        <v>71</v>
      </c>
      <c r="AQ514" s="9">
        <v>0</v>
      </c>
      <c r="AR514" s="9">
        <v>71</v>
      </c>
      <c r="AS514" s="9">
        <v>87</v>
      </c>
      <c r="AT514" s="9">
        <v>77</v>
      </c>
      <c r="AU514" s="9">
        <v>58</v>
      </c>
      <c r="AV514" s="9">
        <v>48</v>
      </c>
      <c r="AW514" s="9">
        <v>36</v>
      </c>
      <c r="AX514" s="9">
        <v>26</v>
      </c>
      <c r="AY514" s="9">
        <v>21</v>
      </c>
      <c r="AZ514" s="9">
        <v>38</v>
      </c>
    </row>
    <row r="515" spans="2:52">
      <c r="B515" t="str">
        <f t="shared" si="35"/>
        <v>Jun</v>
      </c>
      <c r="C515" s="43">
        <f t="shared" si="36"/>
        <v>46201</v>
      </c>
      <c r="D515" s="44">
        <f t="shared" si="37"/>
        <v>46194</v>
      </c>
      <c r="E515" s="9" t="s">
        <v>39</v>
      </c>
      <c r="F515">
        <f t="shared" si="38"/>
        <v>0</v>
      </c>
      <c r="G515">
        <f t="shared" si="39"/>
        <v>-113</v>
      </c>
      <c r="AJ515" s="40">
        <v>46194</v>
      </c>
      <c r="AK515" s="9" t="s">
        <v>205</v>
      </c>
      <c r="AL515" s="9" t="s">
        <v>39</v>
      </c>
      <c r="AM515" s="9"/>
      <c r="AN515" s="9">
        <v>90</v>
      </c>
      <c r="AO515" s="9">
        <v>106</v>
      </c>
      <c r="AP515" s="9">
        <v>111</v>
      </c>
      <c r="AQ515" s="9">
        <v>105</v>
      </c>
      <c r="AR515" s="9">
        <v>98</v>
      </c>
      <c r="AS515" s="9">
        <v>109</v>
      </c>
      <c r="AT515" s="9">
        <v>106</v>
      </c>
      <c r="AU515" s="9">
        <v>103</v>
      </c>
      <c r="AV515" s="9">
        <v>0</v>
      </c>
      <c r="AW515" s="9">
        <v>16</v>
      </c>
      <c r="AX515" s="9">
        <v>33</v>
      </c>
      <c r="AY515" s="9">
        <v>27</v>
      </c>
      <c r="AZ515" s="9">
        <v>25</v>
      </c>
    </row>
    <row r="516" spans="2:52">
      <c r="B516" t="str">
        <f t="shared" si="35"/>
        <v>Jun</v>
      </c>
      <c r="C516" s="43">
        <f t="shared" si="36"/>
        <v>46201</v>
      </c>
      <c r="D516" s="44">
        <f t="shared" si="37"/>
        <v>46194</v>
      </c>
      <c r="E516" s="9" t="s">
        <v>40</v>
      </c>
      <c r="F516">
        <f t="shared" si="38"/>
        <v>0</v>
      </c>
      <c r="G516">
        <f t="shared" si="39"/>
        <v>-2</v>
      </c>
      <c r="AJ516" s="40">
        <v>46194</v>
      </c>
      <c r="AK516" s="9" t="s">
        <v>205</v>
      </c>
      <c r="AL516" s="9" t="s">
        <v>40</v>
      </c>
      <c r="AM516" s="9"/>
      <c r="AN516" s="9">
        <v>78</v>
      </c>
      <c r="AO516" s="9">
        <v>90</v>
      </c>
      <c r="AP516" s="9">
        <v>101</v>
      </c>
      <c r="AQ516" s="9">
        <v>92</v>
      </c>
      <c r="AR516" s="9">
        <v>84</v>
      </c>
      <c r="AS516" s="9">
        <v>88</v>
      </c>
      <c r="AT516" s="9">
        <v>0</v>
      </c>
      <c r="AU516" s="9">
        <v>40</v>
      </c>
      <c r="AV516" s="9">
        <v>0</v>
      </c>
      <c r="AW516" s="9">
        <v>31</v>
      </c>
      <c r="AX516" s="9">
        <v>36</v>
      </c>
      <c r="AY516" s="9">
        <v>33</v>
      </c>
      <c r="AZ516" s="9">
        <v>35</v>
      </c>
    </row>
    <row r="517" spans="2:52">
      <c r="B517" t="str">
        <f t="shared" ref="B517:B580" si="40">TEXT(C517,"MMM")</f>
        <v>Jun</v>
      </c>
      <c r="C517" s="43">
        <f t="shared" ref="C517:C580" si="41">AJ517+(8-WEEKDAY(AJ517))</f>
        <v>46201</v>
      </c>
      <c r="D517" s="44">
        <f t="shared" ref="D517:D580" si="42">AJ517</f>
        <v>46194</v>
      </c>
      <c r="E517" s="9" t="s">
        <v>41</v>
      </c>
      <c r="F517">
        <f t="shared" ref="F517:F580" si="43">IF(SUM(V517:AI517)&lt;=0,0,SUM(V517:AI517))</f>
        <v>0</v>
      </c>
      <c r="G517">
        <f t="shared" si="39"/>
        <v>2</v>
      </c>
      <c r="AJ517" s="40">
        <v>46194</v>
      </c>
      <c r="AK517" s="9" t="s">
        <v>41</v>
      </c>
      <c r="AL517" s="9" t="s">
        <v>41</v>
      </c>
      <c r="AM517" s="9"/>
      <c r="AN517" s="9">
        <v>35</v>
      </c>
      <c r="AO517" s="9">
        <v>32</v>
      </c>
      <c r="AP517" s="9">
        <v>28</v>
      </c>
      <c r="AQ517" s="9">
        <v>62</v>
      </c>
      <c r="AR517" s="9">
        <v>0</v>
      </c>
      <c r="AS517" s="9">
        <v>15</v>
      </c>
      <c r="AT517" s="9">
        <v>18</v>
      </c>
      <c r="AU517" s="9">
        <v>21</v>
      </c>
      <c r="AV517" s="9">
        <v>19</v>
      </c>
      <c r="AW517" s="9">
        <v>24</v>
      </c>
      <c r="AX517" s="9">
        <v>27</v>
      </c>
      <c r="AY517" s="9">
        <v>28</v>
      </c>
      <c r="AZ517" s="9">
        <v>26</v>
      </c>
    </row>
    <row r="518" spans="2:52">
      <c r="B518" t="str">
        <f t="shared" si="40"/>
        <v>Jun</v>
      </c>
      <c r="C518" s="43">
        <f t="shared" si="41"/>
        <v>46201</v>
      </c>
      <c r="D518" s="44">
        <f t="shared" si="42"/>
        <v>46194</v>
      </c>
      <c r="E518" s="9" t="s">
        <v>45</v>
      </c>
      <c r="F518">
        <f t="shared" si="43"/>
        <v>0</v>
      </c>
      <c r="G518">
        <f t="shared" si="39"/>
        <v>-14</v>
      </c>
      <c r="AJ518" s="40">
        <v>46194</v>
      </c>
      <c r="AK518" s="9" t="s">
        <v>202</v>
      </c>
      <c r="AL518" s="9" t="s">
        <v>45</v>
      </c>
      <c r="AM518" s="9"/>
      <c r="AN518" s="9">
        <v>22</v>
      </c>
      <c r="AO518" s="9">
        <v>0</v>
      </c>
      <c r="AP518" s="9">
        <v>21</v>
      </c>
      <c r="AQ518" s="9">
        <v>16</v>
      </c>
      <c r="AR518" s="9">
        <v>13</v>
      </c>
      <c r="AS518" s="9">
        <v>0</v>
      </c>
      <c r="AT518" s="9">
        <v>9</v>
      </c>
      <c r="AU518" s="9">
        <v>8</v>
      </c>
      <c r="AV518" s="9">
        <v>0</v>
      </c>
      <c r="AW518" s="9">
        <v>6</v>
      </c>
      <c r="AX518" s="9">
        <v>3</v>
      </c>
      <c r="AY518" s="9">
        <v>0</v>
      </c>
      <c r="AZ518" s="9">
        <v>1</v>
      </c>
    </row>
    <row r="519" spans="2:52">
      <c r="B519" t="str">
        <f t="shared" si="40"/>
        <v>Jun</v>
      </c>
      <c r="C519" s="43">
        <f t="shared" si="41"/>
        <v>46201</v>
      </c>
      <c r="D519" s="44">
        <f t="shared" si="42"/>
        <v>46194</v>
      </c>
      <c r="E519" s="9" t="s">
        <v>46</v>
      </c>
      <c r="F519">
        <f t="shared" si="43"/>
        <v>0</v>
      </c>
      <c r="G519">
        <f t="shared" si="39"/>
        <v>64</v>
      </c>
      <c r="AJ519" s="40">
        <v>46194</v>
      </c>
      <c r="AK519" s="9" t="s">
        <v>202</v>
      </c>
      <c r="AL519" s="9" t="s">
        <v>46</v>
      </c>
      <c r="AM519" s="9"/>
      <c r="AN519" s="9">
        <v>0</v>
      </c>
      <c r="AO519" s="9">
        <v>4</v>
      </c>
      <c r="AP519" s="9">
        <v>44</v>
      </c>
      <c r="AQ519" s="9">
        <v>41</v>
      </c>
      <c r="AR519" s="9">
        <v>39</v>
      </c>
      <c r="AS519" s="9">
        <v>80</v>
      </c>
      <c r="AT519" s="9">
        <v>81</v>
      </c>
      <c r="AU519" s="9">
        <v>79</v>
      </c>
      <c r="AV519" s="9">
        <v>83</v>
      </c>
      <c r="AW519" s="9">
        <v>0</v>
      </c>
      <c r="AX519" s="9">
        <v>10</v>
      </c>
      <c r="AY519" s="9">
        <v>87</v>
      </c>
      <c r="AZ519" s="9">
        <v>88</v>
      </c>
    </row>
    <row r="520" spans="2:52">
      <c r="B520" t="str">
        <f t="shared" si="40"/>
        <v>Jun</v>
      </c>
      <c r="C520" s="43">
        <f t="shared" si="41"/>
        <v>46201</v>
      </c>
      <c r="D520" s="44">
        <f t="shared" si="42"/>
        <v>46194</v>
      </c>
      <c r="E520" s="9" t="s">
        <v>47</v>
      </c>
      <c r="F520">
        <f t="shared" si="43"/>
        <v>0</v>
      </c>
      <c r="G520">
        <f t="shared" si="39"/>
        <v>12</v>
      </c>
      <c r="AJ520" s="40">
        <v>46194</v>
      </c>
      <c r="AK520" s="9" t="s">
        <v>202</v>
      </c>
      <c r="AL520" s="9" t="s">
        <v>47</v>
      </c>
      <c r="AM520" s="9"/>
      <c r="AN520" s="9">
        <v>22</v>
      </c>
      <c r="AO520" s="9">
        <v>23</v>
      </c>
      <c r="AP520" s="9">
        <v>20</v>
      </c>
      <c r="AQ520" s="9">
        <v>23</v>
      </c>
      <c r="AR520" s="9">
        <v>23</v>
      </c>
      <c r="AS520" s="9">
        <v>22</v>
      </c>
      <c r="AT520" s="9">
        <v>0</v>
      </c>
      <c r="AU520" s="9">
        <v>0</v>
      </c>
      <c r="AV520" s="9">
        <v>0</v>
      </c>
      <c r="AW520" s="9">
        <v>11</v>
      </c>
      <c r="AX520" s="9">
        <v>11</v>
      </c>
      <c r="AY520" s="9">
        <v>7</v>
      </c>
      <c r="AZ520" s="9">
        <v>12</v>
      </c>
    </row>
    <row r="521" spans="2:52">
      <c r="B521" t="str">
        <f t="shared" si="40"/>
        <v>Jun</v>
      </c>
      <c r="C521" s="43">
        <f t="shared" si="41"/>
        <v>46201</v>
      </c>
      <c r="D521" s="44">
        <f t="shared" si="42"/>
        <v>46194</v>
      </c>
      <c r="E521" s="9" t="s">
        <v>206</v>
      </c>
      <c r="F521">
        <f t="shared" si="43"/>
        <v>0</v>
      </c>
      <c r="G521">
        <f t="shared" si="39"/>
        <v>50</v>
      </c>
      <c r="AJ521" s="40">
        <v>46194</v>
      </c>
      <c r="AK521" s="9" t="s">
        <v>43</v>
      </c>
      <c r="AL521" s="9" t="s">
        <v>206</v>
      </c>
      <c r="AM521" s="9"/>
      <c r="AN521" s="9">
        <v>0</v>
      </c>
      <c r="AO521" s="9">
        <v>35</v>
      </c>
      <c r="AP521" s="9">
        <v>82</v>
      </c>
      <c r="AQ521" s="9">
        <v>88</v>
      </c>
      <c r="AR521" s="9">
        <v>89</v>
      </c>
      <c r="AS521" s="9">
        <v>0</v>
      </c>
      <c r="AT521" s="9">
        <v>28</v>
      </c>
      <c r="AU521" s="9">
        <v>32</v>
      </c>
      <c r="AV521" s="9">
        <v>33</v>
      </c>
      <c r="AW521" s="9">
        <v>14</v>
      </c>
      <c r="AX521" s="9">
        <v>13</v>
      </c>
      <c r="AY521" s="9">
        <v>18</v>
      </c>
      <c r="AZ521" s="9">
        <v>75</v>
      </c>
    </row>
    <row r="522" spans="2:52">
      <c r="B522" t="str">
        <f t="shared" si="40"/>
        <v>Jun</v>
      </c>
      <c r="C522" s="43">
        <f t="shared" si="41"/>
        <v>46201</v>
      </c>
      <c r="D522" s="44">
        <f t="shared" si="42"/>
        <v>46194</v>
      </c>
      <c r="E522" s="9" t="s">
        <v>207</v>
      </c>
      <c r="F522">
        <f t="shared" si="43"/>
        <v>0</v>
      </c>
      <c r="G522">
        <f t="shared" si="39"/>
        <v>-15</v>
      </c>
      <c r="AJ522" s="40">
        <v>46194</v>
      </c>
      <c r="AK522" s="9" t="s">
        <v>203</v>
      </c>
      <c r="AL522" s="9" t="s">
        <v>207</v>
      </c>
      <c r="AM522" s="9"/>
      <c r="AN522" s="9">
        <v>60</v>
      </c>
      <c r="AO522" s="9">
        <v>0</v>
      </c>
      <c r="AP522" s="9">
        <v>13</v>
      </c>
      <c r="AQ522" s="9">
        <v>53</v>
      </c>
      <c r="AR522" s="9">
        <v>58</v>
      </c>
      <c r="AS522" s="9">
        <v>62</v>
      </c>
      <c r="AT522" s="9">
        <v>61</v>
      </c>
      <c r="AU522" s="9">
        <v>55</v>
      </c>
      <c r="AV522" s="9">
        <v>61</v>
      </c>
      <c r="AW522" s="9">
        <v>0</v>
      </c>
      <c r="AX522" s="9">
        <v>3</v>
      </c>
      <c r="AY522" s="9">
        <v>6</v>
      </c>
      <c r="AZ522" s="9">
        <v>1</v>
      </c>
    </row>
    <row r="523" spans="2:52">
      <c r="B523" t="str">
        <f t="shared" si="40"/>
        <v>Jun</v>
      </c>
      <c r="C523" s="43">
        <f t="shared" si="41"/>
        <v>46201</v>
      </c>
      <c r="D523" s="44">
        <f t="shared" si="42"/>
        <v>46194</v>
      </c>
      <c r="E523" s="9" t="s">
        <v>42</v>
      </c>
      <c r="F523">
        <f t="shared" si="43"/>
        <v>0</v>
      </c>
      <c r="G523">
        <f t="shared" si="39"/>
        <v>-42</v>
      </c>
      <c r="AJ523" s="40">
        <v>46194</v>
      </c>
      <c r="AK523" s="9" t="s">
        <v>42</v>
      </c>
      <c r="AL523" s="9" t="s">
        <v>42</v>
      </c>
      <c r="AM523" s="9"/>
      <c r="AN523" s="9">
        <v>27</v>
      </c>
      <c r="AO523" s="9">
        <v>21</v>
      </c>
      <c r="AP523" s="9">
        <v>21</v>
      </c>
      <c r="AQ523" s="9">
        <v>18</v>
      </c>
      <c r="AR523" s="9">
        <v>15</v>
      </c>
      <c r="AS523" s="9">
        <v>0</v>
      </c>
      <c r="AT523" s="9">
        <v>0</v>
      </c>
      <c r="AU523" s="9">
        <v>0</v>
      </c>
      <c r="AV523" s="9">
        <v>3</v>
      </c>
      <c r="AW523" s="9">
        <v>0</v>
      </c>
      <c r="AX523" s="9">
        <v>15</v>
      </c>
      <c r="AY523" s="9">
        <v>9</v>
      </c>
      <c r="AZ523" s="9">
        <v>0</v>
      </c>
    </row>
    <row r="524" spans="2:52">
      <c r="B524" t="str">
        <f t="shared" si="40"/>
        <v>Jun</v>
      </c>
      <c r="C524" s="43">
        <f t="shared" si="41"/>
        <v>46201</v>
      </c>
      <c r="D524" s="44">
        <f t="shared" si="42"/>
        <v>46195</v>
      </c>
      <c r="E524" s="9" t="s">
        <v>31</v>
      </c>
      <c r="F524">
        <f t="shared" si="43"/>
        <v>0</v>
      </c>
      <c r="G524">
        <f t="shared" si="39"/>
        <v>-38</v>
      </c>
      <c r="AJ524" s="40">
        <v>46195</v>
      </c>
      <c r="AK524" s="9" t="s">
        <v>204</v>
      </c>
      <c r="AL524" s="9" t="s">
        <v>31</v>
      </c>
      <c r="AM524" s="9"/>
      <c r="AN524" s="9">
        <v>151</v>
      </c>
      <c r="AO524" s="9">
        <v>154</v>
      </c>
      <c r="AP524" s="9">
        <v>145</v>
      </c>
      <c r="AQ524" s="9">
        <v>176</v>
      </c>
      <c r="AR524" s="9">
        <v>189</v>
      </c>
      <c r="AS524" s="9">
        <v>205</v>
      </c>
      <c r="AT524" s="9">
        <v>188</v>
      </c>
      <c r="AU524" s="9">
        <v>199</v>
      </c>
      <c r="AV524" s="9">
        <v>166</v>
      </c>
      <c r="AW524" s="9">
        <v>167</v>
      </c>
      <c r="AX524" s="9">
        <v>156</v>
      </c>
      <c r="AY524" s="9">
        <v>137</v>
      </c>
      <c r="AZ524" s="9">
        <v>0</v>
      </c>
    </row>
    <row r="525" spans="2:52">
      <c r="B525" t="str">
        <f t="shared" si="40"/>
        <v>Jun</v>
      </c>
      <c r="C525" s="43">
        <f t="shared" si="41"/>
        <v>46201</v>
      </c>
      <c r="D525" s="44">
        <f t="shared" si="42"/>
        <v>46195</v>
      </c>
      <c r="E525" s="9" t="s">
        <v>39</v>
      </c>
      <c r="F525">
        <f t="shared" si="43"/>
        <v>0</v>
      </c>
      <c r="G525">
        <f t="shared" si="39"/>
        <v>19</v>
      </c>
      <c r="AJ525" s="40">
        <v>46195</v>
      </c>
      <c r="AK525" s="9" t="s">
        <v>205</v>
      </c>
      <c r="AL525" s="9" t="s">
        <v>39</v>
      </c>
      <c r="AM525" s="9"/>
      <c r="AN525" s="9">
        <v>38</v>
      </c>
      <c r="AO525" s="9">
        <v>26</v>
      </c>
      <c r="AP525" s="9">
        <v>15</v>
      </c>
      <c r="AQ525" s="9">
        <v>27</v>
      </c>
      <c r="AR525" s="9">
        <v>15</v>
      </c>
      <c r="AS525" s="9">
        <v>3</v>
      </c>
      <c r="AT525" s="9">
        <v>26</v>
      </c>
      <c r="AU525" s="9">
        <v>16</v>
      </c>
      <c r="AV525" s="9">
        <v>0</v>
      </c>
      <c r="AW525" s="9">
        <v>0</v>
      </c>
      <c r="AX525" s="9">
        <v>31</v>
      </c>
      <c r="AY525" s="9">
        <v>35</v>
      </c>
      <c r="AZ525" s="9">
        <v>44</v>
      </c>
    </row>
    <row r="526" spans="2:52">
      <c r="B526" t="str">
        <f t="shared" si="40"/>
        <v>Jun</v>
      </c>
      <c r="C526" s="43">
        <f t="shared" si="41"/>
        <v>46201</v>
      </c>
      <c r="D526" s="44">
        <f t="shared" si="42"/>
        <v>46195</v>
      </c>
      <c r="E526" s="9" t="s">
        <v>40</v>
      </c>
      <c r="F526">
        <f t="shared" si="43"/>
        <v>0</v>
      </c>
      <c r="G526">
        <f t="shared" si="39"/>
        <v>114</v>
      </c>
      <c r="AJ526" s="40">
        <v>46195</v>
      </c>
      <c r="AK526" s="9" t="s">
        <v>205</v>
      </c>
      <c r="AL526" s="9" t="s">
        <v>40</v>
      </c>
      <c r="AM526" s="9"/>
      <c r="AN526" s="9">
        <v>66</v>
      </c>
      <c r="AO526" s="9">
        <v>76</v>
      </c>
      <c r="AP526" s="9">
        <v>84</v>
      </c>
      <c r="AQ526" s="9">
        <v>80</v>
      </c>
      <c r="AR526" s="9">
        <v>75</v>
      </c>
      <c r="AS526" s="9">
        <v>81</v>
      </c>
      <c r="AT526" s="9">
        <v>95</v>
      </c>
      <c r="AU526" s="9">
        <v>97</v>
      </c>
      <c r="AV526" s="9">
        <v>99</v>
      </c>
      <c r="AW526" s="9">
        <v>90</v>
      </c>
      <c r="AX526" s="9">
        <v>143</v>
      </c>
      <c r="AY526" s="9">
        <v>151</v>
      </c>
      <c r="AZ526" s="9">
        <v>149</v>
      </c>
    </row>
    <row r="527" spans="2:52">
      <c r="B527" t="str">
        <f t="shared" si="40"/>
        <v>Jun</v>
      </c>
      <c r="C527" s="43">
        <f t="shared" si="41"/>
        <v>46201</v>
      </c>
      <c r="D527" s="44">
        <f t="shared" si="42"/>
        <v>46195</v>
      </c>
      <c r="E527" s="9" t="s">
        <v>41</v>
      </c>
      <c r="F527">
        <f t="shared" si="43"/>
        <v>0</v>
      </c>
      <c r="G527">
        <f t="shared" ref="G527:G590" si="44">SUM(H527:U527)+AZ527-AZ517</f>
        <v>-26</v>
      </c>
      <c r="AJ527" s="40">
        <v>46195</v>
      </c>
      <c r="AK527" s="9" t="s">
        <v>41</v>
      </c>
      <c r="AL527" s="9" t="s">
        <v>41</v>
      </c>
      <c r="AM527" s="9"/>
      <c r="AN527" s="9">
        <v>0</v>
      </c>
      <c r="AO527" s="9">
        <v>4</v>
      </c>
      <c r="AP527" s="9">
        <v>2</v>
      </c>
      <c r="AQ527" s="9">
        <v>0</v>
      </c>
      <c r="AR527" s="9">
        <v>0</v>
      </c>
      <c r="AS527" s="9">
        <v>4</v>
      </c>
      <c r="AT527" s="9">
        <v>17</v>
      </c>
      <c r="AU527" s="9">
        <v>18</v>
      </c>
      <c r="AV527" s="9">
        <v>21</v>
      </c>
      <c r="AW527" s="9">
        <v>21</v>
      </c>
      <c r="AX527" s="9">
        <v>26</v>
      </c>
      <c r="AY527" s="9">
        <v>0</v>
      </c>
      <c r="AZ527" s="9">
        <v>0</v>
      </c>
    </row>
    <row r="528" spans="2:52">
      <c r="B528" t="str">
        <f t="shared" si="40"/>
        <v>Jun</v>
      </c>
      <c r="C528" s="43">
        <f t="shared" si="41"/>
        <v>46201</v>
      </c>
      <c r="D528" s="44">
        <f t="shared" si="42"/>
        <v>46195</v>
      </c>
      <c r="E528" s="9" t="s">
        <v>45</v>
      </c>
      <c r="F528">
        <f t="shared" si="43"/>
        <v>0</v>
      </c>
      <c r="G528">
        <f t="shared" si="44"/>
        <v>57</v>
      </c>
      <c r="AJ528" s="40">
        <v>46195</v>
      </c>
      <c r="AK528" s="9" t="s">
        <v>202</v>
      </c>
      <c r="AL528" s="9" t="s">
        <v>45</v>
      </c>
      <c r="AM528" s="9"/>
      <c r="AN528" s="9">
        <v>114</v>
      </c>
      <c r="AO528" s="9">
        <v>0</v>
      </c>
      <c r="AP528" s="9">
        <v>11</v>
      </c>
      <c r="AQ528" s="9">
        <v>8</v>
      </c>
      <c r="AR528" s="9">
        <v>173</v>
      </c>
      <c r="AS528" s="9">
        <v>195</v>
      </c>
      <c r="AT528" s="9">
        <v>195</v>
      </c>
      <c r="AU528" s="9">
        <v>188</v>
      </c>
      <c r="AV528" s="9">
        <v>191</v>
      </c>
      <c r="AW528" s="9">
        <v>0</v>
      </c>
      <c r="AX528" s="9">
        <v>14</v>
      </c>
      <c r="AY528" s="9">
        <v>16</v>
      </c>
      <c r="AZ528" s="9">
        <v>58</v>
      </c>
    </row>
    <row r="529" spans="2:52">
      <c r="B529" t="str">
        <f t="shared" si="40"/>
        <v>Jun</v>
      </c>
      <c r="C529" s="43">
        <f t="shared" si="41"/>
        <v>46201</v>
      </c>
      <c r="D529" s="44">
        <f t="shared" si="42"/>
        <v>46195</v>
      </c>
      <c r="E529" s="9" t="s">
        <v>46</v>
      </c>
      <c r="F529">
        <f t="shared" si="43"/>
        <v>0</v>
      </c>
      <c r="G529">
        <f t="shared" si="44"/>
        <v>-48</v>
      </c>
      <c r="AJ529" s="40">
        <v>46195</v>
      </c>
      <c r="AK529" s="9" t="s">
        <v>202</v>
      </c>
      <c r="AL529" s="9" t="s">
        <v>46</v>
      </c>
      <c r="AM529" s="9"/>
      <c r="AN529" s="9">
        <v>0</v>
      </c>
      <c r="AO529" s="9">
        <v>7</v>
      </c>
      <c r="AP529" s="9">
        <v>49</v>
      </c>
      <c r="AQ529" s="9">
        <v>45</v>
      </c>
      <c r="AR529" s="9">
        <v>42</v>
      </c>
      <c r="AS529" s="9">
        <v>38</v>
      </c>
      <c r="AT529" s="9">
        <v>84</v>
      </c>
      <c r="AU529" s="9">
        <v>88</v>
      </c>
      <c r="AV529" s="9">
        <v>85</v>
      </c>
      <c r="AW529" s="9">
        <v>52</v>
      </c>
      <c r="AX529" s="9">
        <v>48</v>
      </c>
      <c r="AY529" s="9">
        <v>0</v>
      </c>
      <c r="AZ529" s="9">
        <v>40</v>
      </c>
    </row>
    <row r="530" spans="2:52">
      <c r="B530" t="str">
        <f t="shared" si="40"/>
        <v>Jun</v>
      </c>
      <c r="C530" s="43">
        <f t="shared" si="41"/>
        <v>46201</v>
      </c>
      <c r="D530" s="44">
        <f t="shared" si="42"/>
        <v>46195</v>
      </c>
      <c r="E530" s="9" t="s">
        <v>47</v>
      </c>
      <c r="F530">
        <f t="shared" si="43"/>
        <v>0</v>
      </c>
      <c r="G530">
        <f t="shared" si="44"/>
        <v>4</v>
      </c>
      <c r="AJ530" s="40">
        <v>46195</v>
      </c>
      <c r="AK530" s="9" t="s">
        <v>202</v>
      </c>
      <c r="AL530" s="9" t="s">
        <v>47</v>
      </c>
      <c r="AM530" s="9"/>
      <c r="AN530" s="9">
        <v>16</v>
      </c>
      <c r="AO530" s="9">
        <v>14</v>
      </c>
      <c r="AP530" s="9">
        <v>10</v>
      </c>
      <c r="AQ530" s="9">
        <v>0</v>
      </c>
      <c r="AR530" s="9">
        <v>0</v>
      </c>
      <c r="AS530" s="9">
        <v>13</v>
      </c>
      <c r="AT530" s="9">
        <v>17</v>
      </c>
      <c r="AU530" s="9">
        <v>18</v>
      </c>
      <c r="AV530" s="9">
        <v>14</v>
      </c>
      <c r="AW530" s="9">
        <v>13</v>
      </c>
      <c r="AX530" s="9">
        <v>15</v>
      </c>
      <c r="AY530" s="9">
        <v>16</v>
      </c>
      <c r="AZ530" s="9">
        <v>16</v>
      </c>
    </row>
    <row r="531" spans="2:52">
      <c r="B531" t="str">
        <f t="shared" si="40"/>
        <v>Jun</v>
      </c>
      <c r="C531" s="43">
        <f t="shared" si="41"/>
        <v>46201</v>
      </c>
      <c r="D531" s="44">
        <f t="shared" si="42"/>
        <v>46195</v>
      </c>
      <c r="E531" s="9" t="s">
        <v>206</v>
      </c>
      <c r="F531">
        <f t="shared" si="43"/>
        <v>0</v>
      </c>
      <c r="G531">
        <f t="shared" si="44"/>
        <v>-75</v>
      </c>
      <c r="AJ531" s="40">
        <v>46195</v>
      </c>
      <c r="AK531" s="9" t="s">
        <v>43</v>
      </c>
      <c r="AL531" s="9" t="s">
        <v>206</v>
      </c>
      <c r="AM531" s="9"/>
      <c r="AN531" s="9">
        <v>23</v>
      </c>
      <c r="AO531" s="9">
        <v>20</v>
      </c>
      <c r="AP531" s="9">
        <v>0</v>
      </c>
      <c r="AQ531" s="9">
        <v>4</v>
      </c>
      <c r="AR531" s="9">
        <v>5</v>
      </c>
      <c r="AS531" s="9">
        <v>8</v>
      </c>
      <c r="AT531" s="9">
        <v>17</v>
      </c>
      <c r="AU531" s="9">
        <v>26</v>
      </c>
      <c r="AV531" s="9">
        <v>28</v>
      </c>
      <c r="AW531" s="9">
        <v>0</v>
      </c>
      <c r="AX531" s="9">
        <v>16</v>
      </c>
      <c r="AY531" s="9">
        <v>21</v>
      </c>
      <c r="AZ531" s="9">
        <v>0</v>
      </c>
    </row>
    <row r="532" spans="2:52">
      <c r="B532" t="str">
        <f t="shared" si="40"/>
        <v>Jun</v>
      </c>
      <c r="C532" s="43">
        <f t="shared" si="41"/>
        <v>46201</v>
      </c>
      <c r="D532" s="44">
        <f t="shared" si="42"/>
        <v>46195</v>
      </c>
      <c r="E532" s="9" t="s">
        <v>207</v>
      </c>
      <c r="F532">
        <f t="shared" si="43"/>
        <v>0</v>
      </c>
      <c r="G532">
        <f t="shared" si="44"/>
        <v>49</v>
      </c>
      <c r="AJ532" s="40">
        <v>46195</v>
      </c>
      <c r="AK532" s="9" t="s">
        <v>203</v>
      </c>
      <c r="AL532" s="9" t="s">
        <v>207</v>
      </c>
      <c r="AM532" s="9"/>
      <c r="AN532" s="9">
        <v>16</v>
      </c>
      <c r="AO532" s="9">
        <v>18</v>
      </c>
      <c r="AP532" s="9">
        <v>25</v>
      </c>
      <c r="AQ532" s="9">
        <v>22</v>
      </c>
      <c r="AR532" s="9">
        <v>16</v>
      </c>
      <c r="AS532" s="9">
        <v>33</v>
      </c>
      <c r="AT532" s="9">
        <v>37</v>
      </c>
      <c r="AU532" s="9">
        <v>28</v>
      </c>
      <c r="AV532" s="9">
        <v>0</v>
      </c>
      <c r="AW532" s="9">
        <v>0</v>
      </c>
      <c r="AX532" s="9">
        <v>31</v>
      </c>
      <c r="AY532" s="9">
        <v>39</v>
      </c>
      <c r="AZ532" s="9">
        <v>50</v>
      </c>
    </row>
    <row r="533" spans="2:52">
      <c r="B533" t="str">
        <f t="shared" si="40"/>
        <v>Jun</v>
      </c>
      <c r="C533" s="43">
        <f t="shared" si="41"/>
        <v>46201</v>
      </c>
      <c r="D533" s="44">
        <f t="shared" si="42"/>
        <v>46195</v>
      </c>
      <c r="E533" s="9" t="s">
        <v>42</v>
      </c>
      <c r="F533">
        <f t="shared" si="43"/>
        <v>0</v>
      </c>
      <c r="G533">
        <f t="shared" si="44"/>
        <v>54</v>
      </c>
      <c r="AJ533" s="40">
        <v>46195</v>
      </c>
      <c r="AK533" s="9" t="s">
        <v>42</v>
      </c>
      <c r="AL533" s="9" t="s">
        <v>42</v>
      </c>
      <c r="AM533" s="9"/>
      <c r="AN533" s="9">
        <v>34</v>
      </c>
      <c r="AO533" s="9">
        <v>0</v>
      </c>
      <c r="AP533" s="9">
        <v>1</v>
      </c>
      <c r="AQ533" s="9">
        <v>0</v>
      </c>
      <c r="AR533" s="9">
        <v>3</v>
      </c>
      <c r="AS533" s="9">
        <v>63</v>
      </c>
      <c r="AT533" s="9">
        <v>57</v>
      </c>
      <c r="AU533" s="9">
        <v>56</v>
      </c>
      <c r="AV533" s="9">
        <v>61</v>
      </c>
      <c r="AW533" s="9">
        <v>57</v>
      </c>
      <c r="AX533" s="9">
        <v>52</v>
      </c>
      <c r="AY533" s="9">
        <v>58</v>
      </c>
      <c r="AZ533" s="9">
        <v>54</v>
      </c>
    </row>
    <row r="534" spans="2:52">
      <c r="B534" t="str">
        <f t="shared" si="40"/>
        <v>Jun</v>
      </c>
      <c r="C534" s="43">
        <f t="shared" si="41"/>
        <v>46201</v>
      </c>
      <c r="D534" s="44">
        <f t="shared" si="42"/>
        <v>46196</v>
      </c>
      <c r="E534" s="9" t="s">
        <v>31</v>
      </c>
      <c r="F534">
        <f t="shared" si="43"/>
        <v>0</v>
      </c>
      <c r="G534">
        <f t="shared" si="44"/>
        <v>76</v>
      </c>
      <c r="AJ534" s="40">
        <v>46196</v>
      </c>
      <c r="AK534" s="9" t="s">
        <v>204</v>
      </c>
      <c r="AL534" s="9" t="s">
        <v>31</v>
      </c>
      <c r="AM534" s="9"/>
      <c r="AN534" s="9">
        <v>145</v>
      </c>
      <c r="AO534" s="9">
        <v>0</v>
      </c>
      <c r="AP534" s="9">
        <v>4</v>
      </c>
      <c r="AQ534" s="9">
        <v>0</v>
      </c>
      <c r="AR534" s="9">
        <v>11</v>
      </c>
      <c r="AS534" s="9">
        <v>0</v>
      </c>
      <c r="AT534" s="9">
        <v>0</v>
      </c>
      <c r="AU534" s="9">
        <v>58</v>
      </c>
      <c r="AV534" s="9">
        <v>90</v>
      </c>
      <c r="AW534" s="9">
        <v>91</v>
      </c>
      <c r="AX534" s="9">
        <v>90</v>
      </c>
      <c r="AY534" s="9">
        <v>57</v>
      </c>
      <c r="AZ534" s="9">
        <v>76</v>
      </c>
    </row>
    <row r="535" spans="2:52">
      <c r="B535" t="str">
        <f t="shared" si="40"/>
        <v>Jun</v>
      </c>
      <c r="C535" s="43">
        <f t="shared" si="41"/>
        <v>46201</v>
      </c>
      <c r="D535" s="44">
        <f t="shared" si="42"/>
        <v>46196</v>
      </c>
      <c r="E535" s="9" t="s">
        <v>39</v>
      </c>
      <c r="F535">
        <f t="shared" si="43"/>
        <v>0</v>
      </c>
      <c r="G535">
        <f t="shared" si="44"/>
        <v>14</v>
      </c>
      <c r="AJ535" s="40">
        <v>46196</v>
      </c>
      <c r="AK535" s="9" t="s">
        <v>205</v>
      </c>
      <c r="AL535" s="9" t="s">
        <v>39</v>
      </c>
      <c r="AM535" s="9"/>
      <c r="AN535" s="9">
        <v>72</v>
      </c>
      <c r="AO535" s="9">
        <v>0</v>
      </c>
      <c r="AP535" s="9">
        <v>0</v>
      </c>
      <c r="AQ535" s="9">
        <v>0</v>
      </c>
      <c r="AR535" s="9">
        <v>17</v>
      </c>
      <c r="AS535" s="9">
        <v>0</v>
      </c>
      <c r="AT535" s="9">
        <v>0</v>
      </c>
      <c r="AU535" s="9">
        <v>35</v>
      </c>
      <c r="AV535" s="9">
        <v>45</v>
      </c>
      <c r="AW535" s="9">
        <v>0</v>
      </c>
      <c r="AX535" s="9">
        <v>0</v>
      </c>
      <c r="AY535" s="9">
        <v>51</v>
      </c>
      <c r="AZ535" s="9">
        <v>58</v>
      </c>
    </row>
    <row r="536" spans="2:52">
      <c r="B536" t="str">
        <f t="shared" si="40"/>
        <v>Jun</v>
      </c>
      <c r="C536" s="43">
        <f t="shared" si="41"/>
        <v>46201</v>
      </c>
      <c r="D536" s="44">
        <f t="shared" si="42"/>
        <v>46196</v>
      </c>
      <c r="E536" s="9" t="s">
        <v>40</v>
      </c>
      <c r="F536">
        <f t="shared" si="43"/>
        <v>0</v>
      </c>
      <c r="G536">
        <f t="shared" si="44"/>
        <v>-149</v>
      </c>
      <c r="AJ536" s="40">
        <v>46196</v>
      </c>
      <c r="AK536" s="9" t="s">
        <v>205</v>
      </c>
      <c r="AL536" s="9" t="s">
        <v>40</v>
      </c>
      <c r="AM536" s="9"/>
      <c r="AN536" s="9">
        <v>38</v>
      </c>
      <c r="AO536" s="9">
        <v>209</v>
      </c>
      <c r="AP536" s="9">
        <v>215</v>
      </c>
      <c r="AQ536" s="9">
        <v>211</v>
      </c>
      <c r="AR536" s="9">
        <v>203</v>
      </c>
      <c r="AS536" s="9">
        <v>214</v>
      </c>
      <c r="AT536" s="9">
        <v>223</v>
      </c>
      <c r="AU536" s="9">
        <v>226</v>
      </c>
      <c r="AV536" s="9">
        <v>217</v>
      </c>
      <c r="AW536" s="9">
        <v>0</v>
      </c>
      <c r="AX536" s="9">
        <v>21</v>
      </c>
      <c r="AY536" s="9">
        <v>16</v>
      </c>
      <c r="AZ536" s="9">
        <v>0</v>
      </c>
    </row>
    <row r="537" spans="2:52">
      <c r="B537" t="str">
        <f t="shared" si="40"/>
        <v>Jun</v>
      </c>
      <c r="C537" s="43">
        <f t="shared" si="41"/>
        <v>46201</v>
      </c>
      <c r="D537" s="44">
        <f t="shared" si="42"/>
        <v>46196</v>
      </c>
      <c r="E537" s="9" t="s">
        <v>41</v>
      </c>
      <c r="F537">
        <f t="shared" si="43"/>
        <v>0</v>
      </c>
      <c r="G537">
        <f t="shared" si="44"/>
        <v>7</v>
      </c>
      <c r="AJ537" s="40">
        <v>46196</v>
      </c>
      <c r="AK537" s="9" t="s">
        <v>41</v>
      </c>
      <c r="AL537" s="9" t="s">
        <v>41</v>
      </c>
      <c r="AM537" s="9"/>
      <c r="AN537" s="9">
        <v>0</v>
      </c>
      <c r="AO537" s="9">
        <v>0</v>
      </c>
      <c r="AP537" s="9">
        <v>1</v>
      </c>
      <c r="AQ537" s="9">
        <v>2</v>
      </c>
      <c r="AR537" s="9">
        <v>2</v>
      </c>
      <c r="AS537" s="9">
        <v>0</v>
      </c>
      <c r="AT537" s="9">
        <v>9</v>
      </c>
      <c r="AU537" s="9">
        <v>12</v>
      </c>
      <c r="AV537" s="9">
        <v>11</v>
      </c>
      <c r="AW537" s="9">
        <v>11</v>
      </c>
      <c r="AX537" s="9">
        <v>0</v>
      </c>
      <c r="AY537" s="9">
        <v>5</v>
      </c>
      <c r="AZ537" s="9">
        <v>7</v>
      </c>
    </row>
    <row r="538" spans="2:52">
      <c r="B538" t="str">
        <f t="shared" si="40"/>
        <v>Jun</v>
      </c>
      <c r="C538" s="43">
        <f t="shared" si="41"/>
        <v>46201</v>
      </c>
      <c r="D538" s="44">
        <f t="shared" si="42"/>
        <v>46196</v>
      </c>
      <c r="E538" s="9" t="s">
        <v>45</v>
      </c>
      <c r="F538">
        <f t="shared" si="43"/>
        <v>0</v>
      </c>
      <c r="G538">
        <f t="shared" si="44"/>
        <v>79</v>
      </c>
      <c r="AJ538" s="40">
        <v>46196</v>
      </c>
      <c r="AK538" s="9" t="s">
        <v>202</v>
      </c>
      <c r="AL538" s="9" t="s">
        <v>45</v>
      </c>
      <c r="AM538" s="9"/>
      <c r="AN538" s="9">
        <v>0</v>
      </c>
      <c r="AO538" s="9">
        <v>13</v>
      </c>
      <c r="AP538" s="9">
        <v>0</v>
      </c>
      <c r="AQ538" s="9">
        <v>0</v>
      </c>
      <c r="AR538" s="9">
        <v>4</v>
      </c>
      <c r="AS538" s="9">
        <v>4</v>
      </c>
      <c r="AT538" s="9">
        <v>6</v>
      </c>
      <c r="AU538" s="9">
        <v>14</v>
      </c>
      <c r="AV538" s="9">
        <v>9</v>
      </c>
      <c r="AW538" s="9">
        <v>0</v>
      </c>
      <c r="AX538" s="9">
        <v>7</v>
      </c>
      <c r="AY538" s="9">
        <v>132</v>
      </c>
      <c r="AZ538" s="9">
        <v>137</v>
      </c>
    </row>
    <row r="539" spans="2:52">
      <c r="B539" t="str">
        <f t="shared" si="40"/>
        <v>Jun</v>
      </c>
      <c r="C539" s="43">
        <f t="shared" si="41"/>
        <v>46201</v>
      </c>
      <c r="D539" s="44">
        <f t="shared" si="42"/>
        <v>46196</v>
      </c>
      <c r="E539" s="9" t="s">
        <v>46</v>
      </c>
      <c r="F539">
        <f t="shared" si="43"/>
        <v>0</v>
      </c>
      <c r="G539">
        <f t="shared" si="44"/>
        <v>199</v>
      </c>
      <c r="AJ539" s="40">
        <v>46196</v>
      </c>
      <c r="AK539" s="9" t="s">
        <v>202</v>
      </c>
      <c r="AL539" s="9" t="s">
        <v>46</v>
      </c>
      <c r="AM539" s="9"/>
      <c r="AN539" s="9">
        <v>56</v>
      </c>
      <c r="AO539" s="9">
        <v>240</v>
      </c>
      <c r="AP539" s="9">
        <v>240</v>
      </c>
      <c r="AQ539" s="9">
        <v>236</v>
      </c>
      <c r="AR539" s="9">
        <v>240</v>
      </c>
      <c r="AS539" s="9">
        <v>240</v>
      </c>
      <c r="AT539" s="9">
        <v>238</v>
      </c>
      <c r="AU539" s="9">
        <v>234</v>
      </c>
      <c r="AV539" s="9">
        <v>240</v>
      </c>
      <c r="AW539" s="9">
        <v>236</v>
      </c>
      <c r="AX539" s="9">
        <v>240</v>
      </c>
      <c r="AY539" s="9">
        <v>240</v>
      </c>
      <c r="AZ539" s="9">
        <v>239</v>
      </c>
    </row>
    <row r="540" spans="2:52">
      <c r="B540" t="str">
        <f t="shared" si="40"/>
        <v>Jun</v>
      </c>
      <c r="C540" s="43">
        <f t="shared" si="41"/>
        <v>46201</v>
      </c>
      <c r="D540" s="44">
        <f t="shared" si="42"/>
        <v>46196</v>
      </c>
      <c r="E540" s="9" t="s">
        <v>47</v>
      </c>
      <c r="F540">
        <f t="shared" si="43"/>
        <v>0</v>
      </c>
      <c r="G540">
        <f t="shared" si="44"/>
        <v>-2</v>
      </c>
      <c r="AJ540" s="40">
        <v>46196</v>
      </c>
      <c r="AK540" s="9" t="s">
        <v>202</v>
      </c>
      <c r="AL540" s="9" t="s">
        <v>47</v>
      </c>
      <c r="AM540" s="9"/>
      <c r="AN540" s="9">
        <v>26</v>
      </c>
      <c r="AO540" s="9">
        <v>28</v>
      </c>
      <c r="AP540" s="9">
        <v>135</v>
      </c>
      <c r="AQ540" s="9">
        <v>131</v>
      </c>
      <c r="AR540" s="9">
        <v>129</v>
      </c>
      <c r="AS540" s="9">
        <v>129</v>
      </c>
      <c r="AT540" s="9">
        <v>0</v>
      </c>
      <c r="AU540" s="9">
        <v>0</v>
      </c>
      <c r="AV540" s="9">
        <v>16</v>
      </c>
      <c r="AW540" s="9">
        <v>0</v>
      </c>
      <c r="AX540" s="9">
        <v>0</v>
      </c>
      <c r="AY540" s="9">
        <v>16</v>
      </c>
      <c r="AZ540" s="9">
        <v>14</v>
      </c>
    </row>
    <row r="541" spans="2:52">
      <c r="B541" t="str">
        <f t="shared" si="40"/>
        <v>Jun</v>
      </c>
      <c r="C541" s="43">
        <f t="shared" si="41"/>
        <v>46201</v>
      </c>
      <c r="D541" s="44">
        <f t="shared" si="42"/>
        <v>46196</v>
      </c>
      <c r="E541" s="9" t="s">
        <v>206</v>
      </c>
      <c r="F541">
        <f t="shared" si="43"/>
        <v>0</v>
      </c>
      <c r="G541">
        <f t="shared" si="44"/>
        <v>50</v>
      </c>
      <c r="AJ541" s="40">
        <v>46196</v>
      </c>
      <c r="AK541" s="9" t="s">
        <v>43</v>
      </c>
      <c r="AL541" s="9" t="s">
        <v>206</v>
      </c>
      <c r="AM541" s="9"/>
      <c r="AN541" s="9">
        <v>39</v>
      </c>
      <c r="AO541" s="9">
        <v>36</v>
      </c>
      <c r="AP541" s="9">
        <v>45</v>
      </c>
      <c r="AQ541" s="9">
        <v>14</v>
      </c>
      <c r="AR541" s="9">
        <v>11</v>
      </c>
      <c r="AS541" s="9">
        <v>20</v>
      </c>
      <c r="AT541" s="9">
        <v>23</v>
      </c>
      <c r="AU541" s="9">
        <v>0</v>
      </c>
      <c r="AV541" s="9">
        <v>10</v>
      </c>
      <c r="AW541" s="9">
        <v>52</v>
      </c>
      <c r="AX541" s="9">
        <v>54</v>
      </c>
      <c r="AY541" s="9">
        <v>51</v>
      </c>
      <c r="AZ541" s="9">
        <v>50</v>
      </c>
    </row>
    <row r="542" spans="2:52">
      <c r="B542" t="str">
        <f t="shared" si="40"/>
        <v>Jun</v>
      </c>
      <c r="C542" s="43">
        <f t="shared" si="41"/>
        <v>46201</v>
      </c>
      <c r="D542" s="44">
        <f t="shared" si="42"/>
        <v>46196</v>
      </c>
      <c r="E542" s="9" t="s">
        <v>207</v>
      </c>
      <c r="F542">
        <f t="shared" si="43"/>
        <v>0</v>
      </c>
      <c r="G542">
        <f t="shared" si="44"/>
        <v>-34</v>
      </c>
      <c r="AJ542" s="40">
        <v>46196</v>
      </c>
      <c r="AK542" s="9" t="s">
        <v>203</v>
      </c>
      <c r="AL542" s="9" t="s">
        <v>207</v>
      </c>
      <c r="AM542" s="9"/>
      <c r="AN542" s="9">
        <v>0</v>
      </c>
      <c r="AO542" s="9">
        <v>8</v>
      </c>
      <c r="AP542" s="9">
        <v>15</v>
      </c>
      <c r="AQ542" s="9">
        <v>0</v>
      </c>
      <c r="AR542" s="9">
        <v>4</v>
      </c>
      <c r="AS542" s="9">
        <v>10</v>
      </c>
      <c r="AT542" s="9">
        <v>17</v>
      </c>
      <c r="AU542" s="9">
        <v>21</v>
      </c>
      <c r="AV542" s="9">
        <v>23</v>
      </c>
      <c r="AW542" s="9">
        <v>25</v>
      </c>
      <c r="AX542" s="9">
        <v>23</v>
      </c>
      <c r="AY542" s="9">
        <v>0</v>
      </c>
      <c r="AZ542" s="9">
        <v>16</v>
      </c>
    </row>
    <row r="543" spans="2:52">
      <c r="B543" t="str">
        <f t="shared" si="40"/>
        <v>Jun</v>
      </c>
      <c r="C543" s="43">
        <f t="shared" si="41"/>
        <v>46201</v>
      </c>
      <c r="D543" s="44">
        <f t="shared" si="42"/>
        <v>46196</v>
      </c>
      <c r="E543" s="9" t="s">
        <v>42</v>
      </c>
      <c r="F543">
        <f t="shared" si="43"/>
        <v>0</v>
      </c>
      <c r="G543">
        <f t="shared" si="44"/>
        <v>-32</v>
      </c>
      <c r="AJ543" s="40">
        <v>46196</v>
      </c>
      <c r="AK543" s="9" t="s">
        <v>42</v>
      </c>
      <c r="AL543" s="9" t="s">
        <v>42</v>
      </c>
      <c r="AM543" s="9"/>
      <c r="AN543" s="9">
        <v>23</v>
      </c>
      <c r="AO543" s="9">
        <v>21</v>
      </c>
      <c r="AP543" s="9">
        <v>20</v>
      </c>
      <c r="AQ543" s="9">
        <v>17</v>
      </c>
      <c r="AR543" s="9">
        <v>0</v>
      </c>
      <c r="AS543" s="9">
        <v>6</v>
      </c>
      <c r="AT543" s="9">
        <v>7</v>
      </c>
      <c r="AU543" s="9">
        <v>0</v>
      </c>
      <c r="AV543" s="9">
        <v>0</v>
      </c>
      <c r="AW543" s="9">
        <v>1</v>
      </c>
      <c r="AX543" s="9">
        <v>0</v>
      </c>
      <c r="AY543" s="9">
        <v>0</v>
      </c>
      <c r="AZ543" s="9">
        <v>22</v>
      </c>
    </row>
    <row r="544" spans="2:52">
      <c r="B544" t="str">
        <f t="shared" si="40"/>
        <v>Jun</v>
      </c>
      <c r="C544" s="43">
        <f t="shared" si="41"/>
        <v>46201</v>
      </c>
      <c r="D544" s="44">
        <f t="shared" si="42"/>
        <v>46197</v>
      </c>
      <c r="E544" s="9" t="s">
        <v>31</v>
      </c>
      <c r="F544">
        <f t="shared" si="43"/>
        <v>0</v>
      </c>
      <c r="G544">
        <f t="shared" si="44"/>
        <v>164</v>
      </c>
      <c r="AJ544" s="40">
        <v>46197</v>
      </c>
      <c r="AK544" s="9" t="s">
        <v>204</v>
      </c>
      <c r="AL544" s="9" t="s">
        <v>31</v>
      </c>
      <c r="AM544" s="9"/>
      <c r="AN544" s="9">
        <v>135</v>
      </c>
      <c r="AO544" s="9">
        <v>139</v>
      </c>
      <c r="AP544" s="9">
        <v>136</v>
      </c>
      <c r="AQ544" s="9">
        <v>139</v>
      </c>
      <c r="AR544" s="9">
        <v>149</v>
      </c>
      <c r="AS544" s="9">
        <v>161</v>
      </c>
      <c r="AT544" s="9">
        <v>155</v>
      </c>
      <c r="AU544" s="9">
        <v>240</v>
      </c>
      <c r="AV544" s="9">
        <v>202</v>
      </c>
      <c r="AW544" s="9">
        <v>219</v>
      </c>
      <c r="AX544" s="9">
        <v>240</v>
      </c>
      <c r="AY544" s="9">
        <v>233</v>
      </c>
      <c r="AZ544" s="9">
        <v>240</v>
      </c>
    </row>
    <row r="545" spans="2:52">
      <c r="B545" t="str">
        <f t="shared" si="40"/>
        <v>Jun</v>
      </c>
      <c r="C545" s="43">
        <f t="shared" si="41"/>
        <v>46201</v>
      </c>
      <c r="D545" s="44">
        <f t="shared" si="42"/>
        <v>46197</v>
      </c>
      <c r="E545" s="9" t="s">
        <v>39</v>
      </c>
      <c r="F545">
        <f t="shared" si="43"/>
        <v>0</v>
      </c>
      <c r="G545">
        <f t="shared" si="44"/>
        <v>75</v>
      </c>
      <c r="AJ545" s="40">
        <v>46197</v>
      </c>
      <c r="AK545" s="9" t="s">
        <v>205</v>
      </c>
      <c r="AL545" s="9" t="s">
        <v>39</v>
      </c>
      <c r="AM545" s="9"/>
      <c r="AN545" s="9">
        <v>47</v>
      </c>
      <c r="AO545" s="9">
        <v>0</v>
      </c>
      <c r="AP545" s="9">
        <v>15</v>
      </c>
      <c r="AQ545" s="9">
        <v>0</v>
      </c>
      <c r="AR545" s="9">
        <v>10</v>
      </c>
      <c r="AS545" s="9">
        <v>5</v>
      </c>
      <c r="AT545" s="9">
        <v>18</v>
      </c>
      <c r="AU545" s="9">
        <v>22</v>
      </c>
      <c r="AV545" s="9">
        <v>0</v>
      </c>
      <c r="AW545" s="9">
        <v>46</v>
      </c>
      <c r="AX545" s="9">
        <v>95</v>
      </c>
      <c r="AY545" s="9">
        <v>143</v>
      </c>
      <c r="AZ545" s="9">
        <v>133</v>
      </c>
    </row>
    <row r="546" spans="2:52">
      <c r="B546" t="str">
        <f t="shared" si="40"/>
        <v>Jun</v>
      </c>
      <c r="C546" s="43">
        <f t="shared" si="41"/>
        <v>46201</v>
      </c>
      <c r="D546" s="44">
        <f t="shared" si="42"/>
        <v>46197</v>
      </c>
      <c r="E546" s="9" t="s">
        <v>40</v>
      </c>
      <c r="F546">
        <f t="shared" si="43"/>
        <v>0</v>
      </c>
      <c r="G546">
        <f t="shared" si="44"/>
        <v>50</v>
      </c>
      <c r="AJ546" s="40">
        <v>46197</v>
      </c>
      <c r="AK546" s="9" t="s">
        <v>205</v>
      </c>
      <c r="AL546" s="9" t="s">
        <v>40</v>
      </c>
      <c r="AM546" s="9"/>
      <c r="AN546" s="9">
        <v>104</v>
      </c>
      <c r="AO546" s="9">
        <v>98</v>
      </c>
      <c r="AP546" s="9">
        <v>73</v>
      </c>
      <c r="AQ546" s="9">
        <v>72</v>
      </c>
      <c r="AR546" s="9">
        <v>124</v>
      </c>
      <c r="AS546" s="9">
        <v>105</v>
      </c>
      <c r="AT546" s="9">
        <v>0</v>
      </c>
      <c r="AU546" s="9">
        <v>0</v>
      </c>
      <c r="AV546" s="9">
        <v>6</v>
      </c>
      <c r="AW546" s="9">
        <v>9</v>
      </c>
      <c r="AX546" s="9">
        <v>1</v>
      </c>
      <c r="AY546" s="9">
        <v>38</v>
      </c>
      <c r="AZ546" s="9">
        <v>50</v>
      </c>
    </row>
    <row r="547" spans="2:52">
      <c r="B547" t="str">
        <f t="shared" si="40"/>
        <v>Jun</v>
      </c>
      <c r="C547" s="43">
        <f t="shared" si="41"/>
        <v>46201</v>
      </c>
      <c r="D547" s="44">
        <f t="shared" si="42"/>
        <v>46197</v>
      </c>
      <c r="E547" s="9" t="s">
        <v>41</v>
      </c>
      <c r="F547">
        <f t="shared" si="43"/>
        <v>0</v>
      </c>
      <c r="G547">
        <f t="shared" si="44"/>
        <v>22</v>
      </c>
      <c r="AJ547" s="40">
        <v>46197</v>
      </c>
      <c r="AK547" s="9" t="s">
        <v>41</v>
      </c>
      <c r="AL547" s="9" t="s">
        <v>41</v>
      </c>
      <c r="AM547" s="9"/>
      <c r="AN547" s="9">
        <v>31</v>
      </c>
      <c r="AO547" s="9">
        <v>28</v>
      </c>
      <c r="AP547" s="9">
        <v>25</v>
      </c>
      <c r="AQ547" s="9">
        <v>22</v>
      </c>
      <c r="AR547" s="9">
        <v>18</v>
      </c>
      <c r="AS547" s="9">
        <v>85</v>
      </c>
      <c r="AT547" s="9">
        <v>187</v>
      </c>
      <c r="AU547" s="9">
        <v>188</v>
      </c>
      <c r="AV547" s="9">
        <v>187</v>
      </c>
      <c r="AW547" s="9">
        <v>147</v>
      </c>
      <c r="AX547" s="9">
        <v>0</v>
      </c>
      <c r="AY547" s="9">
        <v>1</v>
      </c>
      <c r="AZ547" s="9">
        <v>29</v>
      </c>
    </row>
    <row r="548" spans="2:52">
      <c r="B548" t="str">
        <f t="shared" si="40"/>
        <v>Jun</v>
      </c>
      <c r="C548" s="43">
        <f t="shared" si="41"/>
        <v>46201</v>
      </c>
      <c r="D548" s="44">
        <f t="shared" si="42"/>
        <v>46197</v>
      </c>
      <c r="E548" s="9" t="s">
        <v>45</v>
      </c>
      <c r="F548">
        <f t="shared" si="43"/>
        <v>0</v>
      </c>
      <c r="G548">
        <f t="shared" si="44"/>
        <v>-137</v>
      </c>
      <c r="AJ548" s="40">
        <v>46197</v>
      </c>
      <c r="AK548" s="9" t="s">
        <v>202</v>
      </c>
      <c r="AL548" s="9" t="s">
        <v>45</v>
      </c>
      <c r="AM548" s="9"/>
      <c r="AN548" s="9">
        <v>25</v>
      </c>
      <c r="AO548" s="9">
        <v>26</v>
      </c>
      <c r="AP548" s="9">
        <v>26</v>
      </c>
      <c r="AQ548" s="9">
        <v>23</v>
      </c>
      <c r="AR548" s="9">
        <v>29</v>
      </c>
      <c r="AS548" s="9">
        <v>30</v>
      </c>
      <c r="AT548" s="9">
        <v>23</v>
      </c>
      <c r="AU548" s="9">
        <v>28</v>
      </c>
      <c r="AV548" s="9">
        <v>31</v>
      </c>
      <c r="AW548" s="9">
        <v>28</v>
      </c>
      <c r="AX548" s="9">
        <v>0</v>
      </c>
      <c r="AY548" s="9">
        <v>6</v>
      </c>
      <c r="AZ548" s="9">
        <v>0</v>
      </c>
    </row>
    <row r="549" spans="2:52">
      <c r="B549" t="str">
        <f t="shared" si="40"/>
        <v>Jun</v>
      </c>
      <c r="C549" s="43">
        <f t="shared" si="41"/>
        <v>46201</v>
      </c>
      <c r="D549" s="44">
        <f t="shared" si="42"/>
        <v>46197</v>
      </c>
      <c r="E549" s="9" t="s">
        <v>46</v>
      </c>
      <c r="F549">
        <f t="shared" si="43"/>
        <v>0</v>
      </c>
      <c r="G549">
        <f t="shared" si="44"/>
        <v>-239</v>
      </c>
      <c r="AJ549" s="40">
        <v>46197</v>
      </c>
      <c r="AK549" s="9" t="s">
        <v>202</v>
      </c>
      <c r="AL549" s="9" t="s">
        <v>46</v>
      </c>
      <c r="AM549" s="9"/>
      <c r="AN549" s="9">
        <v>1</v>
      </c>
      <c r="AO549" s="9">
        <v>0</v>
      </c>
      <c r="AP549" s="9">
        <v>0</v>
      </c>
      <c r="AQ549" s="9">
        <v>0</v>
      </c>
      <c r="AR549" s="9">
        <v>184</v>
      </c>
      <c r="AS549" s="9">
        <v>0</v>
      </c>
      <c r="AT549" s="9">
        <v>6</v>
      </c>
      <c r="AU549" s="9">
        <v>33</v>
      </c>
      <c r="AV549" s="9">
        <v>35</v>
      </c>
      <c r="AW549" s="9">
        <v>32</v>
      </c>
      <c r="AX549" s="9">
        <v>35</v>
      </c>
      <c r="AY549" s="9">
        <v>33</v>
      </c>
      <c r="AZ549" s="9">
        <v>0</v>
      </c>
    </row>
    <row r="550" spans="2:52">
      <c r="B550" t="str">
        <f t="shared" si="40"/>
        <v>Jun</v>
      </c>
      <c r="C550" s="43">
        <f t="shared" si="41"/>
        <v>46201</v>
      </c>
      <c r="D550" s="44">
        <f t="shared" si="42"/>
        <v>46197</v>
      </c>
      <c r="E550" s="9" t="s">
        <v>47</v>
      </c>
      <c r="F550">
        <f t="shared" si="43"/>
        <v>0</v>
      </c>
      <c r="G550">
        <f t="shared" si="44"/>
        <v>200</v>
      </c>
      <c r="AJ550" s="40">
        <v>46197</v>
      </c>
      <c r="AK550" s="9" t="s">
        <v>202</v>
      </c>
      <c r="AL550" s="9" t="s">
        <v>47</v>
      </c>
      <c r="AM550" s="9"/>
      <c r="AN550" s="9">
        <v>34</v>
      </c>
      <c r="AO550" s="9">
        <v>237</v>
      </c>
      <c r="AP550" s="9">
        <v>240</v>
      </c>
      <c r="AQ550" s="9">
        <v>240</v>
      </c>
      <c r="AR550" s="9">
        <v>240</v>
      </c>
      <c r="AS550" s="9">
        <v>240</v>
      </c>
      <c r="AT550" s="9">
        <v>240</v>
      </c>
      <c r="AU550" s="9">
        <v>240</v>
      </c>
      <c r="AV550" s="9">
        <v>240</v>
      </c>
      <c r="AW550" s="9">
        <v>240</v>
      </c>
      <c r="AX550" s="9">
        <v>236</v>
      </c>
      <c r="AY550" s="9">
        <v>214</v>
      </c>
      <c r="AZ550" s="9">
        <v>214</v>
      </c>
    </row>
    <row r="551" spans="2:52">
      <c r="B551" t="str">
        <f t="shared" si="40"/>
        <v>Jun</v>
      </c>
      <c r="C551" s="43">
        <f t="shared" si="41"/>
        <v>46201</v>
      </c>
      <c r="D551" s="44">
        <f t="shared" si="42"/>
        <v>46197</v>
      </c>
      <c r="E551" s="9" t="s">
        <v>206</v>
      </c>
      <c r="F551">
        <f t="shared" si="43"/>
        <v>0</v>
      </c>
      <c r="G551">
        <f t="shared" si="44"/>
        <v>-26</v>
      </c>
      <c r="AJ551" s="40">
        <v>46197</v>
      </c>
      <c r="AK551" s="9" t="s">
        <v>43</v>
      </c>
      <c r="AL551" s="9" t="s">
        <v>206</v>
      </c>
      <c r="AM551" s="9"/>
      <c r="AN551" s="9">
        <v>0</v>
      </c>
      <c r="AO551" s="9">
        <v>2</v>
      </c>
      <c r="AP551" s="9">
        <v>0</v>
      </c>
      <c r="AQ551" s="9">
        <v>0</v>
      </c>
      <c r="AR551" s="9">
        <v>41</v>
      </c>
      <c r="AS551" s="9">
        <v>38</v>
      </c>
      <c r="AT551" s="9">
        <v>30</v>
      </c>
      <c r="AU551" s="9">
        <v>23</v>
      </c>
      <c r="AV551" s="9">
        <v>17</v>
      </c>
      <c r="AW551" s="9">
        <v>20</v>
      </c>
      <c r="AX551" s="9">
        <v>20</v>
      </c>
      <c r="AY551" s="9">
        <v>28</v>
      </c>
      <c r="AZ551" s="9">
        <v>24</v>
      </c>
    </row>
    <row r="552" spans="2:52">
      <c r="B552" t="str">
        <f t="shared" si="40"/>
        <v>Jun</v>
      </c>
      <c r="C552" s="43">
        <f t="shared" si="41"/>
        <v>46201</v>
      </c>
      <c r="D552" s="44">
        <f t="shared" si="42"/>
        <v>46197</v>
      </c>
      <c r="E552" s="9" t="s">
        <v>207</v>
      </c>
      <c r="F552">
        <f t="shared" si="43"/>
        <v>0</v>
      </c>
      <c r="G552">
        <f t="shared" si="44"/>
        <v>7</v>
      </c>
      <c r="AJ552" s="40">
        <v>46197</v>
      </c>
      <c r="AK552" s="9" t="s">
        <v>203</v>
      </c>
      <c r="AL552" s="9" t="s">
        <v>207</v>
      </c>
      <c r="AM552" s="9"/>
      <c r="AN552" s="9">
        <v>56</v>
      </c>
      <c r="AO552" s="9">
        <v>62</v>
      </c>
      <c r="AP552" s="9">
        <v>54</v>
      </c>
      <c r="AQ552" s="9">
        <v>46</v>
      </c>
      <c r="AR552" s="9">
        <v>43</v>
      </c>
      <c r="AS552" s="9">
        <v>40</v>
      </c>
      <c r="AT552" s="9">
        <v>0</v>
      </c>
      <c r="AU552" s="9">
        <v>166</v>
      </c>
      <c r="AV552" s="9">
        <v>160</v>
      </c>
      <c r="AW552" s="9">
        <v>219</v>
      </c>
      <c r="AX552" s="9">
        <v>0</v>
      </c>
      <c r="AY552" s="9">
        <v>28</v>
      </c>
      <c r="AZ552" s="9">
        <v>23</v>
      </c>
    </row>
    <row r="553" spans="2:52">
      <c r="B553" t="str">
        <f t="shared" si="40"/>
        <v>Jun</v>
      </c>
      <c r="C553" s="43">
        <f t="shared" si="41"/>
        <v>46201</v>
      </c>
      <c r="D553" s="44">
        <f t="shared" si="42"/>
        <v>46197</v>
      </c>
      <c r="E553" s="9" t="s">
        <v>42</v>
      </c>
      <c r="F553">
        <f t="shared" si="43"/>
        <v>0</v>
      </c>
      <c r="G553">
        <f t="shared" si="44"/>
        <v>-20</v>
      </c>
      <c r="AJ553" s="40">
        <v>46197</v>
      </c>
      <c r="AK553" s="9" t="s">
        <v>42</v>
      </c>
      <c r="AL553" s="9" t="s">
        <v>42</v>
      </c>
      <c r="AM553" s="9"/>
      <c r="AN553" s="9">
        <v>41</v>
      </c>
      <c r="AO553" s="9">
        <v>36</v>
      </c>
      <c r="AP553" s="9">
        <v>0</v>
      </c>
      <c r="AQ553" s="9">
        <v>17</v>
      </c>
      <c r="AR553" s="9">
        <v>75</v>
      </c>
      <c r="AS553" s="9">
        <v>0</v>
      </c>
      <c r="AT553" s="9">
        <v>0</v>
      </c>
      <c r="AU553" s="9">
        <v>0</v>
      </c>
      <c r="AV553" s="9">
        <v>7</v>
      </c>
      <c r="AW553" s="9">
        <v>0</v>
      </c>
      <c r="AX553" s="9">
        <v>19</v>
      </c>
      <c r="AY553" s="9">
        <v>0</v>
      </c>
      <c r="AZ553" s="9">
        <v>2</v>
      </c>
    </row>
    <row r="554" spans="2:52">
      <c r="B554" t="str">
        <f t="shared" si="40"/>
        <v>Jun</v>
      </c>
      <c r="C554" s="43">
        <f t="shared" si="41"/>
        <v>46201</v>
      </c>
      <c r="D554" s="44">
        <f t="shared" si="42"/>
        <v>46198</v>
      </c>
      <c r="E554" s="9" t="s">
        <v>31</v>
      </c>
      <c r="F554">
        <f t="shared" si="43"/>
        <v>0</v>
      </c>
      <c r="G554">
        <f t="shared" si="44"/>
        <v>-1</v>
      </c>
      <c r="AJ554" s="40">
        <v>46198</v>
      </c>
      <c r="AK554" s="9" t="s">
        <v>204</v>
      </c>
      <c r="AL554" s="9" t="s">
        <v>31</v>
      </c>
      <c r="AM554" s="9"/>
      <c r="AN554" s="9">
        <v>132</v>
      </c>
      <c r="AO554" s="9">
        <v>142</v>
      </c>
      <c r="AP554" s="9">
        <v>153</v>
      </c>
      <c r="AQ554" s="9">
        <v>0</v>
      </c>
      <c r="AR554" s="9">
        <v>13</v>
      </c>
      <c r="AS554" s="9">
        <v>15</v>
      </c>
      <c r="AT554" s="9">
        <v>31</v>
      </c>
      <c r="AU554" s="9">
        <v>150</v>
      </c>
      <c r="AV554" s="9">
        <v>164</v>
      </c>
      <c r="AW554" s="9">
        <v>175</v>
      </c>
      <c r="AX554" s="9">
        <v>192</v>
      </c>
      <c r="AY554" s="9">
        <v>225</v>
      </c>
      <c r="AZ554" s="9">
        <v>239</v>
      </c>
    </row>
    <row r="555" spans="2:52">
      <c r="B555" t="str">
        <f t="shared" si="40"/>
        <v>Jun</v>
      </c>
      <c r="C555" s="43">
        <f t="shared" si="41"/>
        <v>46201</v>
      </c>
      <c r="D555" s="44">
        <f t="shared" si="42"/>
        <v>46198</v>
      </c>
      <c r="E555" s="9" t="s">
        <v>39</v>
      </c>
      <c r="F555">
        <f t="shared" si="43"/>
        <v>0</v>
      </c>
      <c r="G555">
        <f t="shared" si="44"/>
        <v>-133</v>
      </c>
      <c r="AJ555" s="40">
        <v>46198</v>
      </c>
      <c r="AK555" s="9" t="s">
        <v>205</v>
      </c>
      <c r="AL555" s="9" t="s">
        <v>39</v>
      </c>
      <c r="AM555" s="9"/>
      <c r="AN555" s="9">
        <v>34</v>
      </c>
      <c r="AO555" s="9">
        <v>21</v>
      </c>
      <c r="AP555" s="9">
        <v>23</v>
      </c>
      <c r="AQ555" s="9">
        <v>33</v>
      </c>
      <c r="AR555" s="9">
        <v>36</v>
      </c>
      <c r="AS555" s="9">
        <v>49</v>
      </c>
      <c r="AT555" s="9">
        <v>0</v>
      </c>
      <c r="AU555" s="9">
        <v>0</v>
      </c>
      <c r="AV555" s="9">
        <v>12</v>
      </c>
      <c r="AW555" s="9">
        <v>19</v>
      </c>
      <c r="AX555" s="9">
        <v>18</v>
      </c>
      <c r="AY555" s="9">
        <v>7</v>
      </c>
      <c r="AZ555" s="9">
        <v>0</v>
      </c>
    </row>
    <row r="556" spans="2:52">
      <c r="B556" t="str">
        <f t="shared" si="40"/>
        <v>Jun</v>
      </c>
      <c r="C556" s="43">
        <f t="shared" si="41"/>
        <v>46201</v>
      </c>
      <c r="D556" s="44">
        <f t="shared" si="42"/>
        <v>46198</v>
      </c>
      <c r="E556" s="9" t="s">
        <v>40</v>
      </c>
      <c r="F556">
        <f t="shared" si="43"/>
        <v>0</v>
      </c>
      <c r="G556">
        <f t="shared" si="44"/>
        <v>-30</v>
      </c>
      <c r="AJ556" s="40">
        <v>46198</v>
      </c>
      <c r="AK556" s="9" t="s">
        <v>205</v>
      </c>
      <c r="AL556" s="9" t="s">
        <v>40</v>
      </c>
      <c r="AM556" s="9"/>
      <c r="AN556" s="9">
        <v>78</v>
      </c>
      <c r="AO556" s="9">
        <v>93</v>
      </c>
      <c r="AP556" s="9">
        <v>91</v>
      </c>
      <c r="AQ556" s="9">
        <v>90</v>
      </c>
      <c r="AR556" s="9">
        <v>0</v>
      </c>
      <c r="AS556" s="9">
        <v>60</v>
      </c>
      <c r="AT556" s="9">
        <v>0</v>
      </c>
      <c r="AU556" s="9">
        <v>0</v>
      </c>
      <c r="AV556" s="9">
        <v>20</v>
      </c>
      <c r="AW556" s="9">
        <v>15</v>
      </c>
      <c r="AX556" s="9">
        <v>21</v>
      </c>
      <c r="AY556" s="9">
        <v>21</v>
      </c>
      <c r="AZ556" s="9">
        <v>20</v>
      </c>
    </row>
    <row r="557" spans="2:52">
      <c r="B557" t="str">
        <f t="shared" si="40"/>
        <v>Jun</v>
      </c>
      <c r="C557" s="43">
        <f t="shared" si="41"/>
        <v>46201</v>
      </c>
      <c r="D557" s="44">
        <f t="shared" si="42"/>
        <v>46198</v>
      </c>
      <c r="E557" s="9" t="s">
        <v>41</v>
      </c>
      <c r="F557">
        <f t="shared" si="43"/>
        <v>0</v>
      </c>
      <c r="G557">
        <f t="shared" si="44"/>
        <v>-23</v>
      </c>
      <c r="AJ557" s="40">
        <v>46198</v>
      </c>
      <c r="AK557" s="9" t="s">
        <v>41</v>
      </c>
      <c r="AL557" s="9" t="s">
        <v>41</v>
      </c>
      <c r="AM557" s="9"/>
      <c r="AN557" s="9">
        <v>26</v>
      </c>
      <c r="AO557" s="9">
        <v>8</v>
      </c>
      <c r="AP557" s="9">
        <v>10</v>
      </c>
      <c r="AQ557" s="9">
        <v>13</v>
      </c>
      <c r="AR557" s="9">
        <v>10</v>
      </c>
      <c r="AS557" s="9">
        <v>8</v>
      </c>
      <c r="AT557" s="9">
        <v>4</v>
      </c>
      <c r="AU557" s="9">
        <v>6</v>
      </c>
      <c r="AV557" s="9">
        <v>8</v>
      </c>
      <c r="AW557" s="9">
        <v>11</v>
      </c>
      <c r="AX557" s="9">
        <v>0</v>
      </c>
      <c r="AY557" s="9">
        <v>7</v>
      </c>
      <c r="AZ557" s="9">
        <v>6</v>
      </c>
    </row>
    <row r="558" spans="2:52">
      <c r="B558" t="str">
        <f t="shared" si="40"/>
        <v>Jun</v>
      </c>
      <c r="C558" s="43">
        <f t="shared" si="41"/>
        <v>46201</v>
      </c>
      <c r="D558" s="44">
        <f t="shared" si="42"/>
        <v>46198</v>
      </c>
      <c r="E558" s="9" t="s">
        <v>45</v>
      </c>
      <c r="F558">
        <f t="shared" si="43"/>
        <v>0</v>
      </c>
      <c r="G558">
        <f t="shared" si="44"/>
        <v>0</v>
      </c>
      <c r="AJ558" s="40">
        <v>46198</v>
      </c>
      <c r="AK558" s="9" t="s">
        <v>202</v>
      </c>
      <c r="AL558" s="9" t="s">
        <v>45</v>
      </c>
      <c r="AM558" s="9"/>
      <c r="AN558" s="9">
        <v>43</v>
      </c>
      <c r="AO558" s="9">
        <v>43</v>
      </c>
      <c r="AP558" s="9">
        <v>45</v>
      </c>
      <c r="AQ558" s="9">
        <v>95</v>
      </c>
      <c r="AR558" s="9">
        <v>98</v>
      </c>
      <c r="AS558" s="9">
        <v>94</v>
      </c>
      <c r="AT558" s="9">
        <v>234</v>
      </c>
      <c r="AU558" s="9">
        <v>239</v>
      </c>
      <c r="AV558" s="9">
        <v>235</v>
      </c>
      <c r="AW558" s="9">
        <v>240</v>
      </c>
      <c r="AX558" s="9">
        <v>0</v>
      </c>
      <c r="AY558" s="9">
        <v>4</v>
      </c>
      <c r="AZ558" s="9">
        <v>0</v>
      </c>
    </row>
    <row r="559" spans="2:52">
      <c r="B559" t="str">
        <f t="shared" si="40"/>
        <v>Jun</v>
      </c>
      <c r="C559" s="43">
        <f t="shared" si="41"/>
        <v>46201</v>
      </c>
      <c r="D559" s="44">
        <f t="shared" si="42"/>
        <v>46198</v>
      </c>
      <c r="E559" s="9" t="s">
        <v>46</v>
      </c>
      <c r="F559">
        <f t="shared" si="43"/>
        <v>0</v>
      </c>
      <c r="G559">
        <f t="shared" si="44"/>
        <v>44</v>
      </c>
      <c r="AJ559" s="40">
        <v>46198</v>
      </c>
      <c r="AK559" s="9" t="s">
        <v>202</v>
      </c>
      <c r="AL559" s="9" t="s">
        <v>46</v>
      </c>
      <c r="AM559" s="9"/>
      <c r="AN559" s="9">
        <v>0</v>
      </c>
      <c r="AO559" s="9">
        <v>2</v>
      </c>
      <c r="AP559" s="9">
        <v>0</v>
      </c>
      <c r="AQ559" s="9">
        <v>5</v>
      </c>
      <c r="AR559" s="9">
        <v>55</v>
      </c>
      <c r="AS559" s="9">
        <v>55</v>
      </c>
      <c r="AT559" s="9">
        <v>60</v>
      </c>
      <c r="AU559" s="9">
        <v>61</v>
      </c>
      <c r="AV559" s="9">
        <v>0</v>
      </c>
      <c r="AW559" s="9">
        <v>19</v>
      </c>
      <c r="AX559" s="9">
        <v>45</v>
      </c>
      <c r="AY559" s="9">
        <v>44</v>
      </c>
      <c r="AZ559" s="9">
        <v>44</v>
      </c>
    </row>
    <row r="560" spans="2:52">
      <c r="B560" t="str">
        <f t="shared" si="40"/>
        <v>Jun</v>
      </c>
      <c r="C560" s="43">
        <f t="shared" si="41"/>
        <v>46201</v>
      </c>
      <c r="D560" s="44">
        <f t="shared" si="42"/>
        <v>46198</v>
      </c>
      <c r="E560" s="9" t="s">
        <v>47</v>
      </c>
      <c r="F560">
        <f t="shared" si="43"/>
        <v>0</v>
      </c>
      <c r="G560">
        <f t="shared" si="44"/>
        <v>-209</v>
      </c>
      <c r="AJ560" s="40">
        <v>46198</v>
      </c>
      <c r="AK560" s="9" t="s">
        <v>202</v>
      </c>
      <c r="AL560" s="9" t="s">
        <v>47</v>
      </c>
      <c r="AM560" s="9"/>
      <c r="AN560" s="9">
        <v>10</v>
      </c>
      <c r="AO560" s="9">
        <v>15</v>
      </c>
      <c r="AP560" s="9">
        <v>19</v>
      </c>
      <c r="AQ560" s="9">
        <v>23</v>
      </c>
      <c r="AR560" s="9">
        <v>24</v>
      </c>
      <c r="AS560" s="9">
        <v>0</v>
      </c>
      <c r="AT560" s="9">
        <v>13</v>
      </c>
      <c r="AU560" s="9">
        <v>15</v>
      </c>
      <c r="AV560" s="9">
        <v>0</v>
      </c>
      <c r="AW560" s="9">
        <v>1</v>
      </c>
      <c r="AX560" s="9">
        <v>5</v>
      </c>
      <c r="AY560" s="9">
        <v>8</v>
      </c>
      <c r="AZ560" s="9">
        <v>5</v>
      </c>
    </row>
    <row r="561" spans="2:52">
      <c r="B561" t="str">
        <f t="shared" si="40"/>
        <v>Jun</v>
      </c>
      <c r="C561" s="43">
        <f t="shared" si="41"/>
        <v>46201</v>
      </c>
      <c r="D561" s="44">
        <f t="shared" si="42"/>
        <v>46198</v>
      </c>
      <c r="E561" s="9" t="s">
        <v>206</v>
      </c>
      <c r="F561">
        <f t="shared" si="43"/>
        <v>0</v>
      </c>
      <c r="G561">
        <f t="shared" si="44"/>
        <v>39</v>
      </c>
      <c r="AJ561" s="40">
        <v>46198</v>
      </c>
      <c r="AK561" s="9" t="s">
        <v>43</v>
      </c>
      <c r="AL561" s="9" t="s">
        <v>206</v>
      </c>
      <c r="AM561" s="9"/>
      <c r="AN561" s="9">
        <v>39</v>
      </c>
      <c r="AO561" s="9">
        <v>37</v>
      </c>
      <c r="AP561" s="9">
        <v>31</v>
      </c>
      <c r="AQ561" s="9">
        <v>36</v>
      </c>
      <c r="AR561" s="9">
        <v>31</v>
      </c>
      <c r="AS561" s="9">
        <v>34</v>
      </c>
      <c r="AT561" s="9">
        <v>13</v>
      </c>
      <c r="AU561" s="9">
        <v>0</v>
      </c>
      <c r="AV561" s="9">
        <v>5</v>
      </c>
      <c r="AW561" s="9">
        <v>68</v>
      </c>
      <c r="AX561" s="9">
        <v>75</v>
      </c>
      <c r="AY561" s="9">
        <v>71</v>
      </c>
      <c r="AZ561" s="9">
        <v>63</v>
      </c>
    </row>
    <row r="562" spans="2:52">
      <c r="B562" t="str">
        <f t="shared" si="40"/>
        <v>Jun</v>
      </c>
      <c r="C562" s="43">
        <f t="shared" si="41"/>
        <v>46201</v>
      </c>
      <c r="D562" s="44">
        <f t="shared" si="42"/>
        <v>46198</v>
      </c>
      <c r="E562" s="9" t="s">
        <v>207</v>
      </c>
      <c r="F562">
        <f t="shared" si="43"/>
        <v>0</v>
      </c>
      <c r="G562">
        <f t="shared" si="44"/>
        <v>-23</v>
      </c>
      <c r="AJ562" s="40">
        <v>46198</v>
      </c>
      <c r="AK562" s="9" t="s">
        <v>203</v>
      </c>
      <c r="AL562" s="9" t="s">
        <v>207</v>
      </c>
      <c r="AM562" s="9"/>
      <c r="AN562" s="9">
        <v>24</v>
      </c>
      <c r="AO562" s="9">
        <v>26</v>
      </c>
      <c r="AP562" s="9">
        <v>19</v>
      </c>
      <c r="AQ562" s="9">
        <v>28</v>
      </c>
      <c r="AR562" s="9">
        <v>24</v>
      </c>
      <c r="AS562" s="9">
        <v>0</v>
      </c>
      <c r="AT562" s="9">
        <v>8</v>
      </c>
      <c r="AU562" s="9">
        <v>0</v>
      </c>
      <c r="AV562" s="9">
        <v>0</v>
      </c>
      <c r="AW562" s="9">
        <v>8</v>
      </c>
      <c r="AX562" s="9">
        <v>12</v>
      </c>
      <c r="AY562" s="9">
        <v>6</v>
      </c>
      <c r="AZ562" s="9">
        <v>0</v>
      </c>
    </row>
    <row r="563" spans="2:52">
      <c r="B563" t="str">
        <f t="shared" si="40"/>
        <v>Jun</v>
      </c>
      <c r="C563" s="43">
        <f t="shared" si="41"/>
        <v>46201</v>
      </c>
      <c r="D563" s="44">
        <f t="shared" si="42"/>
        <v>46198</v>
      </c>
      <c r="E563" s="9" t="s">
        <v>42</v>
      </c>
      <c r="F563">
        <f t="shared" si="43"/>
        <v>0</v>
      </c>
      <c r="G563">
        <f t="shared" si="44"/>
        <v>-2</v>
      </c>
      <c r="AJ563" s="40">
        <v>46198</v>
      </c>
      <c r="AK563" s="9" t="s">
        <v>42</v>
      </c>
      <c r="AL563" s="9" t="s">
        <v>42</v>
      </c>
      <c r="AM563" s="9"/>
      <c r="AN563" s="9">
        <v>9</v>
      </c>
      <c r="AO563" s="9">
        <v>7</v>
      </c>
      <c r="AP563" s="9">
        <v>0</v>
      </c>
      <c r="AQ563" s="9">
        <v>0</v>
      </c>
      <c r="AR563" s="9">
        <v>4</v>
      </c>
      <c r="AS563" s="9">
        <v>0</v>
      </c>
      <c r="AT563" s="9">
        <v>9</v>
      </c>
      <c r="AU563" s="9">
        <v>14</v>
      </c>
      <c r="AV563" s="9">
        <v>21</v>
      </c>
      <c r="AW563" s="9">
        <v>0</v>
      </c>
      <c r="AX563" s="9">
        <v>1</v>
      </c>
      <c r="AY563" s="9">
        <v>2</v>
      </c>
      <c r="AZ563" s="9">
        <v>0</v>
      </c>
    </row>
    <row r="564" spans="2:52">
      <c r="B564" t="str">
        <f t="shared" si="40"/>
        <v>Jun</v>
      </c>
      <c r="C564" s="43">
        <f t="shared" si="41"/>
        <v>46201</v>
      </c>
      <c r="D564" s="44">
        <f t="shared" si="42"/>
        <v>46199</v>
      </c>
      <c r="E564" s="9" t="s">
        <v>31</v>
      </c>
      <c r="F564">
        <f t="shared" si="43"/>
        <v>0</v>
      </c>
      <c r="G564">
        <f t="shared" si="44"/>
        <v>-44</v>
      </c>
      <c r="AJ564" s="40">
        <v>46199</v>
      </c>
      <c r="AK564" s="9" t="s">
        <v>204</v>
      </c>
      <c r="AL564" s="9" t="s">
        <v>31</v>
      </c>
      <c r="AM564" s="9"/>
      <c r="AN564" s="9">
        <v>70</v>
      </c>
      <c r="AO564" s="9">
        <v>91</v>
      </c>
      <c r="AP564" s="9">
        <v>119</v>
      </c>
      <c r="AQ564" s="9">
        <v>112</v>
      </c>
      <c r="AR564" s="9">
        <v>0</v>
      </c>
      <c r="AS564" s="9">
        <v>23</v>
      </c>
      <c r="AT564" s="9">
        <v>38</v>
      </c>
      <c r="AU564" s="9">
        <v>39</v>
      </c>
      <c r="AV564" s="9">
        <v>20</v>
      </c>
      <c r="AW564" s="9">
        <v>88</v>
      </c>
      <c r="AX564" s="9">
        <v>208</v>
      </c>
      <c r="AY564" s="9">
        <v>183</v>
      </c>
      <c r="AZ564" s="9">
        <v>195</v>
      </c>
    </row>
    <row r="565" spans="2:52">
      <c r="B565" t="str">
        <f t="shared" si="40"/>
        <v>Jun</v>
      </c>
      <c r="C565" s="43">
        <f t="shared" si="41"/>
        <v>46201</v>
      </c>
      <c r="D565" s="44">
        <f t="shared" si="42"/>
        <v>46199</v>
      </c>
      <c r="E565" s="9" t="s">
        <v>39</v>
      </c>
      <c r="F565">
        <f t="shared" si="43"/>
        <v>0</v>
      </c>
      <c r="G565">
        <f t="shared" si="44"/>
        <v>133</v>
      </c>
      <c r="AJ565" s="40">
        <v>46199</v>
      </c>
      <c r="AK565" s="9" t="s">
        <v>205</v>
      </c>
      <c r="AL565" s="9" t="s">
        <v>39</v>
      </c>
      <c r="AM565" s="9"/>
      <c r="AN565" s="9">
        <v>107</v>
      </c>
      <c r="AO565" s="9">
        <v>102</v>
      </c>
      <c r="AP565" s="9">
        <v>104</v>
      </c>
      <c r="AQ565" s="9">
        <v>157</v>
      </c>
      <c r="AR565" s="9">
        <v>173</v>
      </c>
      <c r="AS565" s="9">
        <v>175</v>
      </c>
      <c r="AT565" s="9">
        <v>170</v>
      </c>
      <c r="AU565" s="9">
        <v>131</v>
      </c>
      <c r="AV565" s="9">
        <v>124</v>
      </c>
      <c r="AW565" s="9">
        <v>134</v>
      </c>
      <c r="AX565" s="9">
        <v>120</v>
      </c>
      <c r="AY565" s="9">
        <v>130</v>
      </c>
      <c r="AZ565" s="9">
        <v>133</v>
      </c>
    </row>
    <row r="566" spans="2:52">
      <c r="B566" t="str">
        <f t="shared" si="40"/>
        <v>Jun</v>
      </c>
      <c r="C566" s="43">
        <f t="shared" si="41"/>
        <v>46201</v>
      </c>
      <c r="D566" s="44">
        <f t="shared" si="42"/>
        <v>46199</v>
      </c>
      <c r="E566" s="9" t="s">
        <v>40</v>
      </c>
      <c r="F566">
        <f t="shared" si="43"/>
        <v>0</v>
      </c>
      <c r="G566">
        <f t="shared" si="44"/>
        <v>-3</v>
      </c>
      <c r="AJ566" s="40">
        <v>46199</v>
      </c>
      <c r="AK566" s="9" t="s">
        <v>205</v>
      </c>
      <c r="AL566" s="9" t="s">
        <v>40</v>
      </c>
      <c r="AM566" s="9"/>
      <c r="AN566" s="9">
        <v>49</v>
      </c>
      <c r="AO566" s="9">
        <v>100</v>
      </c>
      <c r="AP566" s="9">
        <v>112</v>
      </c>
      <c r="AQ566" s="9">
        <v>112</v>
      </c>
      <c r="AR566" s="9">
        <v>120</v>
      </c>
      <c r="AS566" s="9">
        <v>117</v>
      </c>
      <c r="AT566" s="9">
        <v>117</v>
      </c>
      <c r="AU566" s="9">
        <v>168</v>
      </c>
      <c r="AV566" s="9">
        <v>175</v>
      </c>
      <c r="AW566" s="9">
        <v>183</v>
      </c>
      <c r="AX566" s="9">
        <v>0</v>
      </c>
      <c r="AY566" s="9">
        <v>12</v>
      </c>
      <c r="AZ566" s="9">
        <v>17</v>
      </c>
    </row>
    <row r="567" spans="2:52">
      <c r="B567" t="str">
        <f t="shared" si="40"/>
        <v>Jun</v>
      </c>
      <c r="C567" s="43">
        <f t="shared" si="41"/>
        <v>46201</v>
      </c>
      <c r="D567" s="44">
        <f t="shared" si="42"/>
        <v>46199</v>
      </c>
      <c r="E567" s="9" t="s">
        <v>41</v>
      </c>
      <c r="F567">
        <f t="shared" si="43"/>
        <v>0</v>
      </c>
      <c r="G567">
        <f t="shared" si="44"/>
        <v>12</v>
      </c>
      <c r="AJ567" s="40">
        <v>46199</v>
      </c>
      <c r="AK567" s="9" t="s">
        <v>41</v>
      </c>
      <c r="AL567" s="9" t="s">
        <v>41</v>
      </c>
      <c r="AM567" s="9"/>
      <c r="AN567" s="9">
        <v>29</v>
      </c>
      <c r="AO567" s="9">
        <v>27</v>
      </c>
      <c r="AP567" s="9">
        <v>28</v>
      </c>
      <c r="AQ567" s="9">
        <v>24</v>
      </c>
      <c r="AR567" s="9">
        <v>26</v>
      </c>
      <c r="AS567" s="9">
        <v>23</v>
      </c>
      <c r="AT567" s="9">
        <v>20</v>
      </c>
      <c r="AU567" s="9">
        <v>23</v>
      </c>
      <c r="AV567" s="9">
        <v>40</v>
      </c>
      <c r="AW567" s="9">
        <v>0</v>
      </c>
      <c r="AX567" s="9">
        <v>0</v>
      </c>
      <c r="AY567" s="9">
        <v>15</v>
      </c>
      <c r="AZ567" s="9">
        <v>18</v>
      </c>
    </row>
    <row r="568" spans="2:52">
      <c r="B568" t="str">
        <f t="shared" si="40"/>
        <v>Jun</v>
      </c>
      <c r="C568" s="43">
        <f t="shared" si="41"/>
        <v>46201</v>
      </c>
      <c r="D568" s="44">
        <f t="shared" si="42"/>
        <v>46199</v>
      </c>
      <c r="E568" s="9" t="s">
        <v>45</v>
      </c>
      <c r="F568">
        <f t="shared" si="43"/>
        <v>0</v>
      </c>
      <c r="G568">
        <f t="shared" si="44"/>
        <v>21</v>
      </c>
      <c r="AJ568" s="40">
        <v>46199</v>
      </c>
      <c r="AK568" s="9" t="s">
        <v>202</v>
      </c>
      <c r="AL568" s="9" t="s">
        <v>45</v>
      </c>
      <c r="AM568" s="9"/>
      <c r="AN568" s="9">
        <v>3</v>
      </c>
      <c r="AO568" s="9">
        <v>0</v>
      </c>
      <c r="AP568" s="9">
        <v>9</v>
      </c>
      <c r="AQ568" s="9">
        <v>4</v>
      </c>
      <c r="AR568" s="9">
        <v>10</v>
      </c>
      <c r="AS568" s="9">
        <v>0</v>
      </c>
      <c r="AT568" s="9">
        <v>0</v>
      </c>
      <c r="AU568" s="9">
        <v>57</v>
      </c>
      <c r="AV568" s="9">
        <v>53</v>
      </c>
      <c r="AW568" s="9">
        <v>33</v>
      </c>
      <c r="AX568" s="9">
        <v>29</v>
      </c>
      <c r="AY568" s="9">
        <v>22</v>
      </c>
      <c r="AZ568" s="9">
        <v>21</v>
      </c>
    </row>
    <row r="569" spans="2:52">
      <c r="B569" t="str">
        <f t="shared" si="40"/>
        <v>Jun</v>
      </c>
      <c r="C569" s="43">
        <f t="shared" si="41"/>
        <v>46201</v>
      </c>
      <c r="D569" s="44">
        <f t="shared" si="42"/>
        <v>46199</v>
      </c>
      <c r="E569" s="9" t="s">
        <v>46</v>
      </c>
      <c r="F569">
        <f t="shared" si="43"/>
        <v>0</v>
      </c>
      <c r="G569">
        <f t="shared" si="44"/>
        <v>-40</v>
      </c>
      <c r="AJ569" s="40">
        <v>46199</v>
      </c>
      <c r="AK569" s="9" t="s">
        <v>202</v>
      </c>
      <c r="AL569" s="9" t="s">
        <v>46</v>
      </c>
      <c r="AM569" s="9"/>
      <c r="AN569" s="9">
        <v>24</v>
      </c>
      <c r="AO569" s="9">
        <v>25</v>
      </c>
      <c r="AP569" s="9">
        <v>22</v>
      </c>
      <c r="AQ569" s="9">
        <v>0</v>
      </c>
      <c r="AR569" s="9">
        <v>0</v>
      </c>
      <c r="AS569" s="9">
        <v>10</v>
      </c>
      <c r="AT569" s="9">
        <v>6</v>
      </c>
      <c r="AU569" s="9">
        <v>5</v>
      </c>
      <c r="AV569" s="9">
        <v>1</v>
      </c>
      <c r="AW569" s="9">
        <v>6</v>
      </c>
      <c r="AX569" s="9">
        <v>8</v>
      </c>
      <c r="AY569" s="9">
        <v>0</v>
      </c>
      <c r="AZ569" s="9">
        <v>4</v>
      </c>
    </row>
    <row r="570" spans="2:52">
      <c r="B570" t="str">
        <f t="shared" si="40"/>
        <v>Jun</v>
      </c>
      <c r="C570" s="43">
        <f t="shared" si="41"/>
        <v>46201</v>
      </c>
      <c r="D570" s="44">
        <f t="shared" si="42"/>
        <v>46199</v>
      </c>
      <c r="E570" s="9" t="s">
        <v>47</v>
      </c>
      <c r="F570">
        <f t="shared" si="43"/>
        <v>0</v>
      </c>
      <c r="G570">
        <f t="shared" si="44"/>
        <v>227</v>
      </c>
      <c r="AJ570" s="40">
        <v>46199</v>
      </c>
      <c r="AK570" s="9" t="s">
        <v>202</v>
      </c>
      <c r="AL570" s="9" t="s">
        <v>47</v>
      </c>
      <c r="AM570" s="9"/>
      <c r="AN570" s="9">
        <v>0</v>
      </c>
      <c r="AO570" s="9">
        <v>11</v>
      </c>
      <c r="AP570" s="9">
        <v>14</v>
      </c>
      <c r="AQ570" s="9">
        <v>11</v>
      </c>
      <c r="AR570" s="9">
        <v>163</v>
      </c>
      <c r="AS570" s="9">
        <v>240</v>
      </c>
      <c r="AT570" s="9">
        <v>236</v>
      </c>
      <c r="AU570" s="9">
        <v>203</v>
      </c>
      <c r="AV570" s="9">
        <v>240</v>
      </c>
      <c r="AW570" s="9">
        <v>238</v>
      </c>
      <c r="AX570" s="9">
        <v>236</v>
      </c>
      <c r="AY570" s="9">
        <v>235</v>
      </c>
      <c r="AZ570" s="9">
        <v>232</v>
      </c>
    </row>
    <row r="571" spans="2:52">
      <c r="B571" t="str">
        <f t="shared" si="40"/>
        <v>Jun</v>
      </c>
      <c r="C571" s="43">
        <f t="shared" si="41"/>
        <v>46201</v>
      </c>
      <c r="D571" s="44">
        <f t="shared" si="42"/>
        <v>46199</v>
      </c>
      <c r="E571" s="9" t="s">
        <v>206</v>
      </c>
      <c r="F571">
        <f t="shared" si="43"/>
        <v>0</v>
      </c>
      <c r="G571">
        <f t="shared" si="44"/>
        <v>-63</v>
      </c>
      <c r="AJ571" s="40">
        <v>46199</v>
      </c>
      <c r="AK571" s="9" t="s">
        <v>43</v>
      </c>
      <c r="AL571" s="9" t="s">
        <v>206</v>
      </c>
      <c r="AM571" s="9"/>
      <c r="AN571" s="9">
        <v>51</v>
      </c>
      <c r="AO571" s="9">
        <v>12</v>
      </c>
      <c r="AP571" s="9">
        <v>9</v>
      </c>
      <c r="AQ571" s="9">
        <v>17</v>
      </c>
      <c r="AR571" s="9">
        <v>0</v>
      </c>
      <c r="AS571" s="9">
        <v>0</v>
      </c>
      <c r="AT571" s="9">
        <v>0</v>
      </c>
      <c r="AU571" s="9">
        <v>10</v>
      </c>
      <c r="AV571" s="9">
        <v>3</v>
      </c>
      <c r="AW571" s="9">
        <v>0</v>
      </c>
      <c r="AX571" s="9">
        <v>26</v>
      </c>
      <c r="AY571" s="9">
        <v>22</v>
      </c>
      <c r="AZ571" s="9">
        <v>0</v>
      </c>
    </row>
    <row r="572" spans="2:52">
      <c r="B572" t="str">
        <f t="shared" si="40"/>
        <v>Jun</v>
      </c>
      <c r="C572" s="43">
        <f t="shared" si="41"/>
        <v>46201</v>
      </c>
      <c r="D572" s="44">
        <f t="shared" si="42"/>
        <v>46199</v>
      </c>
      <c r="E572" s="9" t="s">
        <v>207</v>
      </c>
      <c r="F572">
        <f t="shared" si="43"/>
        <v>0</v>
      </c>
      <c r="G572">
        <f t="shared" si="44"/>
        <v>105</v>
      </c>
      <c r="AJ572" s="40">
        <v>46199</v>
      </c>
      <c r="AK572" s="9" t="s">
        <v>203</v>
      </c>
      <c r="AL572" s="9" t="s">
        <v>207</v>
      </c>
      <c r="AM572" s="9"/>
      <c r="AN572" s="9">
        <v>47</v>
      </c>
      <c r="AO572" s="9">
        <v>55</v>
      </c>
      <c r="AP572" s="9">
        <v>47</v>
      </c>
      <c r="AQ572" s="9">
        <v>54</v>
      </c>
      <c r="AR572" s="9">
        <v>60</v>
      </c>
      <c r="AS572" s="9">
        <v>63</v>
      </c>
      <c r="AT572" s="9">
        <v>56</v>
      </c>
      <c r="AU572" s="9">
        <v>50</v>
      </c>
      <c r="AV572" s="9">
        <v>95</v>
      </c>
      <c r="AW572" s="9">
        <v>93</v>
      </c>
      <c r="AX572" s="9">
        <v>93</v>
      </c>
      <c r="AY572" s="9">
        <v>101</v>
      </c>
      <c r="AZ572" s="9">
        <v>105</v>
      </c>
    </row>
    <row r="573" spans="2:52">
      <c r="B573" t="str">
        <f t="shared" si="40"/>
        <v>Jun</v>
      </c>
      <c r="C573" s="43">
        <f t="shared" si="41"/>
        <v>46201</v>
      </c>
      <c r="D573" s="44">
        <f t="shared" si="42"/>
        <v>46199</v>
      </c>
      <c r="E573" s="9" t="s">
        <v>42</v>
      </c>
      <c r="F573">
        <f t="shared" si="43"/>
        <v>0</v>
      </c>
      <c r="G573">
        <f t="shared" si="44"/>
        <v>9</v>
      </c>
      <c r="AJ573" s="40">
        <v>46199</v>
      </c>
      <c r="AK573" s="9" t="s">
        <v>42</v>
      </c>
      <c r="AL573" s="9" t="s">
        <v>42</v>
      </c>
      <c r="AM573" s="9"/>
      <c r="AN573" s="9">
        <v>49</v>
      </c>
      <c r="AO573" s="9">
        <v>50</v>
      </c>
      <c r="AP573" s="9">
        <v>50</v>
      </c>
      <c r="AQ573" s="9">
        <v>73</v>
      </c>
      <c r="AR573" s="9">
        <v>50</v>
      </c>
      <c r="AS573" s="9">
        <v>48</v>
      </c>
      <c r="AT573" s="9">
        <v>20</v>
      </c>
      <c r="AU573" s="9">
        <v>14</v>
      </c>
      <c r="AV573" s="9">
        <v>6</v>
      </c>
      <c r="AW573" s="9">
        <v>0</v>
      </c>
      <c r="AX573" s="9">
        <v>4</v>
      </c>
      <c r="AY573" s="9">
        <v>3</v>
      </c>
      <c r="AZ573" s="9">
        <v>9</v>
      </c>
    </row>
    <row r="574" spans="2:52">
      <c r="B574" t="str">
        <f t="shared" si="40"/>
        <v>Jun</v>
      </c>
      <c r="C574" s="43">
        <f t="shared" si="41"/>
        <v>46201</v>
      </c>
      <c r="D574" s="44">
        <f t="shared" si="42"/>
        <v>46200</v>
      </c>
      <c r="E574" s="9" t="s">
        <v>31</v>
      </c>
      <c r="F574">
        <f t="shared" si="43"/>
        <v>0</v>
      </c>
      <c r="G574">
        <f t="shared" si="44"/>
        <v>-100</v>
      </c>
      <c r="AJ574" s="40">
        <v>46200</v>
      </c>
      <c r="AK574" s="9" t="s">
        <v>204</v>
      </c>
      <c r="AL574" s="9" t="s">
        <v>31</v>
      </c>
      <c r="AM574" s="9"/>
      <c r="AN574" s="9">
        <v>124</v>
      </c>
      <c r="AO574" s="9">
        <v>200</v>
      </c>
      <c r="AP574" s="9">
        <v>182</v>
      </c>
      <c r="AQ574" s="9">
        <v>0</v>
      </c>
      <c r="AR574" s="9">
        <v>2</v>
      </c>
      <c r="AS574" s="9">
        <v>17</v>
      </c>
      <c r="AT574" s="9">
        <v>0</v>
      </c>
      <c r="AU574" s="9">
        <v>0</v>
      </c>
      <c r="AV574" s="9">
        <v>54</v>
      </c>
      <c r="AW574" s="9">
        <v>45</v>
      </c>
      <c r="AX574" s="9">
        <v>63</v>
      </c>
      <c r="AY574" s="9">
        <v>81</v>
      </c>
      <c r="AZ574" s="9">
        <v>95</v>
      </c>
    </row>
    <row r="575" spans="2:52">
      <c r="B575" t="str">
        <f t="shared" si="40"/>
        <v>Jun</v>
      </c>
      <c r="C575" s="43">
        <f t="shared" si="41"/>
        <v>46201</v>
      </c>
      <c r="D575" s="44">
        <f t="shared" si="42"/>
        <v>46200</v>
      </c>
      <c r="E575" s="9" t="s">
        <v>39</v>
      </c>
      <c r="F575">
        <f t="shared" si="43"/>
        <v>0</v>
      </c>
      <c r="G575">
        <f t="shared" si="44"/>
        <v>-53</v>
      </c>
      <c r="AJ575" s="40">
        <v>46200</v>
      </c>
      <c r="AK575" s="9" t="s">
        <v>205</v>
      </c>
      <c r="AL575" s="9" t="s">
        <v>39</v>
      </c>
      <c r="AM575" s="9"/>
      <c r="AN575" s="9">
        <v>49</v>
      </c>
      <c r="AO575" s="9">
        <v>58</v>
      </c>
      <c r="AP575" s="9">
        <v>61</v>
      </c>
      <c r="AQ575" s="9">
        <v>0</v>
      </c>
      <c r="AR575" s="9">
        <v>52</v>
      </c>
      <c r="AS575" s="9">
        <v>46</v>
      </c>
      <c r="AT575" s="9">
        <v>38</v>
      </c>
      <c r="AU575" s="9">
        <v>41</v>
      </c>
      <c r="AV575" s="9">
        <v>47</v>
      </c>
      <c r="AW575" s="9">
        <v>52</v>
      </c>
      <c r="AX575" s="9">
        <v>86</v>
      </c>
      <c r="AY575" s="9">
        <v>81</v>
      </c>
      <c r="AZ575" s="9">
        <v>80</v>
      </c>
    </row>
    <row r="576" spans="2:52">
      <c r="B576" t="str">
        <f t="shared" si="40"/>
        <v>Jun</v>
      </c>
      <c r="C576" s="43">
        <f t="shared" si="41"/>
        <v>46201</v>
      </c>
      <c r="D576" s="44">
        <f t="shared" si="42"/>
        <v>46200</v>
      </c>
      <c r="E576" s="9" t="s">
        <v>40</v>
      </c>
      <c r="F576">
        <f t="shared" si="43"/>
        <v>0</v>
      </c>
      <c r="G576">
        <f t="shared" si="44"/>
        <v>12</v>
      </c>
      <c r="AJ576" s="40">
        <v>46200</v>
      </c>
      <c r="AK576" s="9" t="s">
        <v>205</v>
      </c>
      <c r="AL576" s="9" t="s">
        <v>40</v>
      </c>
      <c r="AM576" s="9"/>
      <c r="AN576" s="9">
        <v>51</v>
      </c>
      <c r="AO576" s="9">
        <v>52</v>
      </c>
      <c r="AP576" s="9">
        <v>113</v>
      </c>
      <c r="AQ576" s="9">
        <v>105</v>
      </c>
      <c r="AR576" s="9">
        <v>122</v>
      </c>
      <c r="AS576" s="9">
        <v>0</v>
      </c>
      <c r="AT576" s="9">
        <v>24</v>
      </c>
      <c r="AU576" s="9">
        <v>21</v>
      </c>
      <c r="AV576" s="9">
        <v>21</v>
      </c>
      <c r="AW576" s="9">
        <v>13</v>
      </c>
      <c r="AX576" s="9">
        <v>9</v>
      </c>
      <c r="AY576" s="9">
        <v>20</v>
      </c>
      <c r="AZ576" s="9">
        <v>29</v>
      </c>
    </row>
    <row r="577" spans="2:52">
      <c r="B577" t="str">
        <f t="shared" si="40"/>
        <v>Jun</v>
      </c>
      <c r="C577" s="43">
        <f t="shared" si="41"/>
        <v>46201</v>
      </c>
      <c r="D577" s="44">
        <f t="shared" si="42"/>
        <v>46200</v>
      </c>
      <c r="E577" s="9" t="s">
        <v>41</v>
      </c>
      <c r="F577">
        <f t="shared" si="43"/>
        <v>0</v>
      </c>
      <c r="G577">
        <f t="shared" si="44"/>
        <v>-16</v>
      </c>
      <c r="AJ577" s="40">
        <v>46200</v>
      </c>
      <c r="AK577" s="9" t="s">
        <v>41</v>
      </c>
      <c r="AL577" s="9" t="s">
        <v>41</v>
      </c>
      <c r="AM577" s="9"/>
      <c r="AN577" s="9">
        <v>12</v>
      </c>
      <c r="AO577" s="9">
        <v>0</v>
      </c>
      <c r="AP577" s="9">
        <v>17</v>
      </c>
      <c r="AQ577" s="9">
        <v>0</v>
      </c>
      <c r="AR577" s="9">
        <v>2</v>
      </c>
      <c r="AS577" s="9">
        <v>1</v>
      </c>
      <c r="AT577" s="9">
        <v>5</v>
      </c>
      <c r="AU577" s="9">
        <v>1</v>
      </c>
      <c r="AV577" s="9">
        <v>0</v>
      </c>
      <c r="AW577" s="9">
        <v>12</v>
      </c>
      <c r="AX577" s="9">
        <v>11</v>
      </c>
      <c r="AY577" s="9">
        <v>0</v>
      </c>
      <c r="AZ577" s="9">
        <v>2</v>
      </c>
    </row>
    <row r="578" spans="2:52">
      <c r="B578" t="str">
        <f t="shared" si="40"/>
        <v>Jun</v>
      </c>
      <c r="C578" s="43">
        <f t="shared" si="41"/>
        <v>46201</v>
      </c>
      <c r="D578" s="44">
        <f t="shared" si="42"/>
        <v>46200</v>
      </c>
      <c r="E578" s="9" t="s">
        <v>45</v>
      </c>
      <c r="F578">
        <f t="shared" si="43"/>
        <v>0</v>
      </c>
      <c r="G578">
        <f t="shared" si="44"/>
        <v>154</v>
      </c>
      <c r="AJ578" s="40">
        <v>46200</v>
      </c>
      <c r="AK578" s="9" t="s">
        <v>202</v>
      </c>
      <c r="AL578" s="9" t="s">
        <v>45</v>
      </c>
      <c r="AM578" s="9"/>
      <c r="AN578" s="9">
        <v>36</v>
      </c>
      <c r="AO578" s="9">
        <v>37</v>
      </c>
      <c r="AP578" s="9">
        <v>30</v>
      </c>
      <c r="AQ578" s="9">
        <v>26</v>
      </c>
      <c r="AR578" s="9">
        <v>20</v>
      </c>
      <c r="AS578" s="9">
        <v>21</v>
      </c>
      <c r="AT578" s="9">
        <v>170</v>
      </c>
      <c r="AU578" s="9">
        <v>163</v>
      </c>
      <c r="AV578" s="9">
        <v>161</v>
      </c>
      <c r="AW578" s="9">
        <v>164</v>
      </c>
      <c r="AX578" s="9">
        <v>162</v>
      </c>
      <c r="AY578" s="9">
        <v>167</v>
      </c>
      <c r="AZ578" s="9">
        <v>175</v>
      </c>
    </row>
    <row r="579" spans="2:52">
      <c r="B579" t="str">
        <f t="shared" si="40"/>
        <v>Jun</v>
      </c>
      <c r="C579" s="43">
        <f t="shared" si="41"/>
        <v>46201</v>
      </c>
      <c r="D579" s="44">
        <f t="shared" si="42"/>
        <v>46200</v>
      </c>
      <c r="E579" s="9" t="s">
        <v>46</v>
      </c>
      <c r="F579">
        <f t="shared" si="43"/>
        <v>0</v>
      </c>
      <c r="G579">
        <f t="shared" si="44"/>
        <v>58</v>
      </c>
      <c r="AJ579" s="40">
        <v>46200</v>
      </c>
      <c r="AK579" s="9" t="s">
        <v>202</v>
      </c>
      <c r="AL579" s="9" t="s">
        <v>46</v>
      </c>
      <c r="AM579" s="9"/>
      <c r="AN579" s="9">
        <v>21</v>
      </c>
      <c r="AO579" s="9">
        <v>21</v>
      </c>
      <c r="AP579" s="9">
        <v>25</v>
      </c>
      <c r="AQ579" s="9">
        <v>28</v>
      </c>
      <c r="AR579" s="9">
        <v>43</v>
      </c>
      <c r="AS579" s="9">
        <v>99</v>
      </c>
      <c r="AT579" s="9">
        <v>96</v>
      </c>
      <c r="AU579" s="9">
        <v>99</v>
      </c>
      <c r="AV579" s="9">
        <v>55</v>
      </c>
      <c r="AW579" s="9">
        <v>58</v>
      </c>
      <c r="AX579" s="9">
        <v>61</v>
      </c>
      <c r="AY579" s="9">
        <v>61</v>
      </c>
      <c r="AZ579" s="9">
        <v>62</v>
      </c>
    </row>
    <row r="580" spans="2:52">
      <c r="B580" t="str">
        <f t="shared" si="40"/>
        <v>Jun</v>
      </c>
      <c r="C580" s="43">
        <f t="shared" si="41"/>
        <v>46201</v>
      </c>
      <c r="D580" s="44">
        <f t="shared" si="42"/>
        <v>46200</v>
      </c>
      <c r="E580" s="9" t="s">
        <v>47</v>
      </c>
      <c r="F580">
        <f t="shared" si="43"/>
        <v>0</v>
      </c>
      <c r="G580">
        <f t="shared" si="44"/>
        <v>-232</v>
      </c>
      <c r="AJ580" s="40">
        <v>46200</v>
      </c>
      <c r="AK580" s="9" t="s">
        <v>202</v>
      </c>
      <c r="AL580" s="9" t="s">
        <v>47</v>
      </c>
      <c r="AM580" s="9"/>
      <c r="AN580" s="9">
        <v>17</v>
      </c>
      <c r="AO580" s="9">
        <v>18</v>
      </c>
      <c r="AP580" s="9">
        <v>14</v>
      </c>
      <c r="AQ580" s="9">
        <v>13</v>
      </c>
      <c r="AR580" s="9">
        <v>18</v>
      </c>
      <c r="AS580" s="9">
        <v>0</v>
      </c>
      <c r="AT580" s="9">
        <v>23</v>
      </c>
      <c r="AU580" s="9">
        <v>21</v>
      </c>
      <c r="AV580" s="9">
        <v>25</v>
      </c>
      <c r="AW580" s="9">
        <v>27</v>
      </c>
      <c r="AX580" s="9">
        <v>28</v>
      </c>
      <c r="AY580" s="9">
        <v>33</v>
      </c>
      <c r="AZ580" s="9">
        <v>0</v>
      </c>
    </row>
    <row r="581" spans="2:52">
      <c r="B581" t="str">
        <f t="shared" ref="B581:B644" si="45">TEXT(C581,"MMM")</f>
        <v>Jun</v>
      </c>
      <c r="C581" s="43">
        <f t="shared" ref="C581:C644" si="46">AJ581+(8-WEEKDAY(AJ581))</f>
        <v>46201</v>
      </c>
      <c r="D581" s="44">
        <f t="shared" ref="D581:D644" si="47">AJ581</f>
        <v>46200</v>
      </c>
      <c r="E581" s="9" t="s">
        <v>206</v>
      </c>
      <c r="F581">
        <f t="shared" ref="F581:F644" si="48">IF(SUM(V581:AI581)&lt;=0,0,SUM(V581:AI581))</f>
        <v>0</v>
      </c>
      <c r="G581">
        <f t="shared" si="44"/>
        <v>6</v>
      </c>
      <c r="AJ581" s="40">
        <v>46200</v>
      </c>
      <c r="AK581" s="9" t="s">
        <v>43</v>
      </c>
      <c r="AL581" s="9" t="s">
        <v>206</v>
      </c>
      <c r="AM581" s="9"/>
      <c r="AN581" s="9">
        <v>39</v>
      </c>
      <c r="AO581" s="9">
        <v>42</v>
      </c>
      <c r="AP581" s="9">
        <v>46</v>
      </c>
      <c r="AQ581" s="9">
        <v>47</v>
      </c>
      <c r="AR581" s="9">
        <v>54</v>
      </c>
      <c r="AS581" s="9">
        <v>17</v>
      </c>
      <c r="AT581" s="9">
        <v>0</v>
      </c>
      <c r="AU581" s="9">
        <v>0</v>
      </c>
      <c r="AV581" s="9">
        <v>2</v>
      </c>
      <c r="AW581" s="9">
        <v>0</v>
      </c>
      <c r="AX581" s="9">
        <v>0</v>
      </c>
      <c r="AY581" s="9">
        <v>0</v>
      </c>
      <c r="AZ581" s="9">
        <v>6</v>
      </c>
    </row>
    <row r="582" spans="2:52">
      <c r="B582" t="str">
        <f t="shared" si="45"/>
        <v>Jun</v>
      </c>
      <c r="C582" s="43">
        <f t="shared" si="46"/>
        <v>46201</v>
      </c>
      <c r="D582" s="44">
        <f t="shared" si="47"/>
        <v>46200</v>
      </c>
      <c r="E582" s="9" t="s">
        <v>207</v>
      </c>
      <c r="F582">
        <f t="shared" si="48"/>
        <v>0</v>
      </c>
      <c r="G582">
        <f t="shared" si="44"/>
        <v>-74</v>
      </c>
      <c r="AJ582" s="40">
        <v>46200</v>
      </c>
      <c r="AK582" s="9" t="s">
        <v>203</v>
      </c>
      <c r="AL582" s="9" t="s">
        <v>207</v>
      </c>
      <c r="AM582" s="9"/>
      <c r="AN582" s="9">
        <v>6</v>
      </c>
      <c r="AO582" s="9">
        <v>0</v>
      </c>
      <c r="AP582" s="9">
        <v>24</v>
      </c>
      <c r="AQ582" s="9">
        <v>31</v>
      </c>
      <c r="AR582" s="9">
        <v>27</v>
      </c>
      <c r="AS582" s="9">
        <v>30</v>
      </c>
      <c r="AT582" s="9">
        <v>25</v>
      </c>
      <c r="AU582" s="9">
        <v>20</v>
      </c>
      <c r="AV582" s="9">
        <v>35</v>
      </c>
      <c r="AW582" s="9">
        <v>37</v>
      </c>
      <c r="AX582" s="9">
        <v>0</v>
      </c>
      <c r="AY582" s="9">
        <v>24</v>
      </c>
      <c r="AZ582" s="9">
        <v>31</v>
      </c>
    </row>
    <row r="583" spans="2:52">
      <c r="B583" t="str">
        <f t="shared" si="45"/>
        <v>Jun</v>
      </c>
      <c r="C583" s="43">
        <f t="shared" si="46"/>
        <v>46201</v>
      </c>
      <c r="D583" s="44">
        <f t="shared" si="47"/>
        <v>46200</v>
      </c>
      <c r="E583" s="9" t="s">
        <v>42</v>
      </c>
      <c r="F583">
        <f t="shared" si="48"/>
        <v>0</v>
      </c>
      <c r="G583">
        <f t="shared" si="44"/>
        <v>-1</v>
      </c>
      <c r="AJ583" s="40">
        <v>46200</v>
      </c>
      <c r="AK583" s="9" t="s">
        <v>42</v>
      </c>
      <c r="AL583" s="9" t="s">
        <v>42</v>
      </c>
      <c r="AM583" s="9"/>
      <c r="AN583" s="9">
        <v>19</v>
      </c>
      <c r="AO583" s="9">
        <v>16</v>
      </c>
      <c r="AP583" s="9">
        <v>22</v>
      </c>
      <c r="AQ583" s="9">
        <v>25</v>
      </c>
      <c r="AR583" s="9">
        <v>19</v>
      </c>
      <c r="AS583" s="9">
        <v>41</v>
      </c>
      <c r="AT583" s="9">
        <v>41</v>
      </c>
      <c r="AU583" s="9">
        <v>0</v>
      </c>
      <c r="AV583" s="9">
        <v>0</v>
      </c>
      <c r="AW583" s="9">
        <v>0</v>
      </c>
      <c r="AX583" s="9">
        <v>2</v>
      </c>
      <c r="AY583" s="9">
        <v>4</v>
      </c>
      <c r="AZ583" s="9">
        <v>8</v>
      </c>
    </row>
    <row r="584" spans="2:52">
      <c r="B584" t="str">
        <f t="shared" si="45"/>
        <v>Jul</v>
      </c>
      <c r="C584" s="43">
        <f t="shared" si="46"/>
        <v>46208</v>
      </c>
      <c r="D584" s="44">
        <f t="shared" si="47"/>
        <v>46201</v>
      </c>
      <c r="E584" s="9" t="s">
        <v>31</v>
      </c>
      <c r="F584">
        <f t="shared" si="48"/>
        <v>0</v>
      </c>
      <c r="G584">
        <f t="shared" si="44"/>
        <v>-27</v>
      </c>
      <c r="AJ584" s="40">
        <v>46201</v>
      </c>
      <c r="AK584" s="9" t="s">
        <v>204</v>
      </c>
      <c r="AL584" s="9" t="s">
        <v>31</v>
      </c>
      <c r="AM584" s="9"/>
      <c r="AN584" s="9">
        <v>151</v>
      </c>
      <c r="AO584" s="9">
        <v>138</v>
      </c>
      <c r="AP584" s="9">
        <v>190</v>
      </c>
      <c r="AQ584" s="9">
        <v>208</v>
      </c>
      <c r="AR584" s="9">
        <v>223</v>
      </c>
      <c r="AS584" s="9">
        <v>213</v>
      </c>
      <c r="AT584" s="9">
        <v>0</v>
      </c>
      <c r="AU584" s="9">
        <v>26</v>
      </c>
      <c r="AV584" s="9">
        <v>0</v>
      </c>
      <c r="AW584" s="9">
        <v>0</v>
      </c>
      <c r="AX584" s="9">
        <v>3</v>
      </c>
      <c r="AY584" s="9">
        <v>0</v>
      </c>
      <c r="AZ584" s="9">
        <v>68</v>
      </c>
    </row>
    <row r="585" spans="2:52">
      <c r="B585" t="str">
        <f t="shared" si="45"/>
        <v>Jul</v>
      </c>
      <c r="C585" s="43">
        <f t="shared" si="46"/>
        <v>46208</v>
      </c>
      <c r="D585" s="44">
        <f t="shared" si="47"/>
        <v>46201</v>
      </c>
      <c r="E585" s="9" t="s">
        <v>39</v>
      </c>
      <c r="F585">
        <f t="shared" si="48"/>
        <v>0</v>
      </c>
      <c r="G585">
        <f t="shared" si="44"/>
        <v>0</v>
      </c>
      <c r="AJ585" s="40">
        <v>46201</v>
      </c>
      <c r="AK585" s="9" t="s">
        <v>205</v>
      </c>
      <c r="AL585" s="9" t="s">
        <v>39</v>
      </c>
      <c r="AM585" s="9"/>
      <c r="AN585" s="9">
        <v>57</v>
      </c>
      <c r="AO585" s="9">
        <v>55</v>
      </c>
      <c r="AP585" s="9">
        <v>40</v>
      </c>
      <c r="AQ585" s="9">
        <v>35</v>
      </c>
      <c r="AR585" s="9">
        <v>49</v>
      </c>
      <c r="AS585" s="9">
        <v>39</v>
      </c>
      <c r="AT585" s="9">
        <v>46</v>
      </c>
      <c r="AU585" s="9">
        <v>108</v>
      </c>
      <c r="AV585" s="9">
        <v>81</v>
      </c>
      <c r="AW585" s="9">
        <v>84</v>
      </c>
      <c r="AX585" s="9">
        <v>106</v>
      </c>
      <c r="AY585" s="9">
        <v>92</v>
      </c>
      <c r="AZ585" s="9">
        <v>80</v>
      </c>
    </row>
    <row r="586" spans="2:52">
      <c r="B586" t="str">
        <f t="shared" si="45"/>
        <v>Jul</v>
      </c>
      <c r="C586" s="43">
        <f t="shared" si="46"/>
        <v>46208</v>
      </c>
      <c r="D586" s="44">
        <f t="shared" si="47"/>
        <v>46201</v>
      </c>
      <c r="E586" s="9" t="s">
        <v>40</v>
      </c>
      <c r="F586">
        <f t="shared" si="48"/>
        <v>0</v>
      </c>
      <c r="G586">
        <f t="shared" si="44"/>
        <v>185</v>
      </c>
      <c r="AJ586" s="40">
        <v>46201</v>
      </c>
      <c r="AK586" s="9" t="s">
        <v>205</v>
      </c>
      <c r="AL586" s="9" t="s">
        <v>40</v>
      </c>
      <c r="AM586" s="9"/>
      <c r="AN586" s="9">
        <v>116</v>
      </c>
      <c r="AO586" s="9">
        <v>106</v>
      </c>
      <c r="AP586" s="9">
        <v>240</v>
      </c>
      <c r="AQ586" s="9">
        <v>231</v>
      </c>
      <c r="AR586" s="9">
        <v>230</v>
      </c>
      <c r="AS586" s="9">
        <v>233</v>
      </c>
      <c r="AT586" s="9">
        <v>212</v>
      </c>
      <c r="AU586" s="9">
        <v>211</v>
      </c>
      <c r="AV586" s="9">
        <v>221</v>
      </c>
      <c r="AW586" s="9">
        <v>216</v>
      </c>
      <c r="AX586" s="9">
        <v>225</v>
      </c>
      <c r="AY586" s="9">
        <v>223</v>
      </c>
      <c r="AZ586" s="9">
        <v>214</v>
      </c>
    </row>
    <row r="587" spans="2:52">
      <c r="B587" t="str">
        <f t="shared" si="45"/>
        <v>Jul</v>
      </c>
      <c r="C587" s="43">
        <f t="shared" si="46"/>
        <v>46208</v>
      </c>
      <c r="D587" s="44">
        <f t="shared" si="47"/>
        <v>46201</v>
      </c>
      <c r="E587" s="9" t="s">
        <v>41</v>
      </c>
      <c r="F587">
        <f t="shared" si="48"/>
        <v>0</v>
      </c>
      <c r="G587">
        <f t="shared" si="44"/>
        <v>-2</v>
      </c>
      <c r="AJ587" s="40">
        <v>46201</v>
      </c>
      <c r="AK587" s="9" t="s">
        <v>41</v>
      </c>
      <c r="AL587" s="9" t="s">
        <v>41</v>
      </c>
      <c r="AM587" s="9"/>
      <c r="AN587" s="9">
        <v>24</v>
      </c>
      <c r="AO587" s="9">
        <v>76</v>
      </c>
      <c r="AP587" s="9">
        <v>74</v>
      </c>
      <c r="AQ587" s="9">
        <v>73</v>
      </c>
      <c r="AR587" s="9">
        <v>171</v>
      </c>
      <c r="AS587" s="9">
        <v>174</v>
      </c>
      <c r="AT587" s="9">
        <v>231</v>
      </c>
      <c r="AU587" s="9">
        <v>232</v>
      </c>
      <c r="AV587" s="9">
        <v>222</v>
      </c>
      <c r="AW587" s="9">
        <v>240</v>
      </c>
      <c r="AX587" s="9">
        <v>240</v>
      </c>
      <c r="AY587" s="9">
        <v>0</v>
      </c>
      <c r="AZ587" s="9">
        <v>0</v>
      </c>
    </row>
    <row r="588" spans="2:52">
      <c r="B588" t="str">
        <f t="shared" si="45"/>
        <v>Jul</v>
      </c>
      <c r="C588" s="43">
        <f t="shared" si="46"/>
        <v>46208</v>
      </c>
      <c r="D588" s="44">
        <f t="shared" si="47"/>
        <v>46201</v>
      </c>
      <c r="E588" s="9" t="s">
        <v>45</v>
      </c>
      <c r="F588">
        <f t="shared" si="48"/>
        <v>0</v>
      </c>
      <c r="G588">
        <f t="shared" si="44"/>
        <v>-169</v>
      </c>
      <c r="AJ588" s="40">
        <v>46201</v>
      </c>
      <c r="AK588" s="9" t="s">
        <v>202</v>
      </c>
      <c r="AL588" s="9" t="s">
        <v>45</v>
      </c>
      <c r="AM588" s="9"/>
      <c r="AN588" s="9">
        <v>50</v>
      </c>
      <c r="AO588" s="9">
        <v>56</v>
      </c>
      <c r="AP588" s="9">
        <v>54</v>
      </c>
      <c r="AQ588" s="9">
        <v>56</v>
      </c>
      <c r="AR588" s="9">
        <v>49</v>
      </c>
      <c r="AS588" s="9">
        <v>46</v>
      </c>
      <c r="AT588" s="9">
        <v>0</v>
      </c>
      <c r="AU588" s="9">
        <v>1</v>
      </c>
      <c r="AV588" s="9">
        <v>0</v>
      </c>
      <c r="AW588" s="9">
        <v>4</v>
      </c>
      <c r="AX588" s="9">
        <v>3</v>
      </c>
      <c r="AY588" s="9">
        <v>0</v>
      </c>
      <c r="AZ588" s="9">
        <v>6</v>
      </c>
    </row>
    <row r="589" spans="2:52">
      <c r="B589" t="str">
        <f t="shared" si="45"/>
        <v>Jul</v>
      </c>
      <c r="C589" s="43">
        <f t="shared" si="46"/>
        <v>46208</v>
      </c>
      <c r="D589" s="44">
        <f t="shared" si="47"/>
        <v>46201</v>
      </c>
      <c r="E589" s="9" t="s">
        <v>46</v>
      </c>
      <c r="F589">
        <f t="shared" si="48"/>
        <v>0</v>
      </c>
      <c r="G589">
        <f t="shared" si="44"/>
        <v>-56</v>
      </c>
      <c r="AJ589" s="40">
        <v>46201</v>
      </c>
      <c r="AK589" s="9" t="s">
        <v>202</v>
      </c>
      <c r="AL589" s="9" t="s">
        <v>46</v>
      </c>
      <c r="AM589" s="9"/>
      <c r="AN589" s="9">
        <v>0</v>
      </c>
      <c r="AO589" s="9">
        <v>0</v>
      </c>
      <c r="AP589" s="9">
        <v>0</v>
      </c>
      <c r="AQ589" s="9">
        <v>9</v>
      </c>
      <c r="AR589" s="9">
        <v>11</v>
      </c>
      <c r="AS589" s="9">
        <v>9</v>
      </c>
      <c r="AT589" s="9">
        <v>57</v>
      </c>
      <c r="AU589" s="9">
        <v>58</v>
      </c>
      <c r="AV589" s="9">
        <v>57</v>
      </c>
      <c r="AW589" s="9">
        <v>59</v>
      </c>
      <c r="AX589" s="9">
        <v>58</v>
      </c>
      <c r="AY589" s="9">
        <v>0</v>
      </c>
      <c r="AZ589" s="9">
        <v>6</v>
      </c>
    </row>
    <row r="590" spans="2:52">
      <c r="B590" t="str">
        <f t="shared" si="45"/>
        <v>Jul</v>
      </c>
      <c r="C590" s="43">
        <f t="shared" si="46"/>
        <v>46208</v>
      </c>
      <c r="D590" s="44">
        <f t="shared" si="47"/>
        <v>46201</v>
      </c>
      <c r="E590" s="9" t="s">
        <v>47</v>
      </c>
      <c r="F590">
        <f t="shared" si="48"/>
        <v>0</v>
      </c>
      <c r="G590">
        <f t="shared" si="44"/>
        <v>0</v>
      </c>
      <c r="AJ590" s="40">
        <v>46201</v>
      </c>
      <c r="AK590" s="9" t="s">
        <v>202</v>
      </c>
      <c r="AL590" s="9" t="s">
        <v>47</v>
      </c>
      <c r="AM590" s="9"/>
      <c r="AN590" s="9">
        <v>0</v>
      </c>
      <c r="AO590" s="9">
        <v>14</v>
      </c>
      <c r="AP590" s="9">
        <v>0</v>
      </c>
      <c r="AQ590" s="9">
        <v>2</v>
      </c>
      <c r="AR590" s="9">
        <v>4</v>
      </c>
      <c r="AS590" s="9">
        <v>7</v>
      </c>
      <c r="AT590" s="9">
        <v>5</v>
      </c>
      <c r="AU590" s="9">
        <v>72</v>
      </c>
      <c r="AV590" s="9">
        <v>0</v>
      </c>
      <c r="AW590" s="9">
        <v>0</v>
      </c>
      <c r="AX590" s="9">
        <v>3</v>
      </c>
      <c r="AY590" s="9">
        <v>1</v>
      </c>
      <c r="AZ590" s="9">
        <v>0</v>
      </c>
    </row>
    <row r="591" spans="2:52">
      <c r="B591" t="str">
        <f t="shared" si="45"/>
        <v>Jul</v>
      </c>
      <c r="C591" s="43">
        <f t="shared" si="46"/>
        <v>46208</v>
      </c>
      <c r="D591" s="44">
        <f t="shared" si="47"/>
        <v>46201</v>
      </c>
      <c r="E591" s="9" t="s">
        <v>206</v>
      </c>
      <c r="F591">
        <f t="shared" si="48"/>
        <v>0</v>
      </c>
      <c r="G591">
        <f t="shared" ref="G591:G654" si="49">SUM(H591:U591)+AZ591-AZ581</f>
        <v>75</v>
      </c>
      <c r="AJ591" s="40">
        <v>46201</v>
      </c>
      <c r="AK591" s="9" t="s">
        <v>43</v>
      </c>
      <c r="AL591" s="9" t="s">
        <v>206</v>
      </c>
      <c r="AM591" s="9"/>
      <c r="AN591" s="9">
        <v>55</v>
      </c>
      <c r="AO591" s="9">
        <v>90</v>
      </c>
      <c r="AP591" s="9">
        <v>88</v>
      </c>
      <c r="AQ591" s="9">
        <v>84</v>
      </c>
      <c r="AR591" s="9">
        <v>87</v>
      </c>
      <c r="AS591" s="9">
        <v>0</v>
      </c>
      <c r="AT591" s="9">
        <v>10</v>
      </c>
      <c r="AU591" s="9">
        <v>2</v>
      </c>
      <c r="AV591" s="9">
        <v>50</v>
      </c>
      <c r="AW591" s="9">
        <v>60</v>
      </c>
      <c r="AX591" s="9">
        <v>66</v>
      </c>
      <c r="AY591" s="9">
        <v>75</v>
      </c>
      <c r="AZ591" s="9">
        <v>81</v>
      </c>
    </row>
    <row r="592" spans="2:52">
      <c r="B592" t="str">
        <f t="shared" si="45"/>
        <v>Jul</v>
      </c>
      <c r="C592" s="43">
        <f t="shared" si="46"/>
        <v>46208</v>
      </c>
      <c r="D592" s="44">
        <f t="shared" si="47"/>
        <v>46201</v>
      </c>
      <c r="E592" s="9" t="s">
        <v>207</v>
      </c>
      <c r="F592">
        <f t="shared" si="48"/>
        <v>0</v>
      </c>
      <c r="G592">
        <f t="shared" si="49"/>
        <v>-9</v>
      </c>
      <c r="AJ592" s="40">
        <v>46201</v>
      </c>
      <c r="AK592" s="9" t="s">
        <v>203</v>
      </c>
      <c r="AL592" s="9" t="s">
        <v>207</v>
      </c>
      <c r="AM592" s="9"/>
      <c r="AN592" s="9">
        <v>61</v>
      </c>
      <c r="AO592" s="9">
        <v>0</v>
      </c>
      <c r="AP592" s="9">
        <v>20</v>
      </c>
      <c r="AQ592" s="9">
        <v>0</v>
      </c>
      <c r="AR592" s="9">
        <v>0</v>
      </c>
      <c r="AS592" s="9">
        <v>6</v>
      </c>
      <c r="AT592" s="9">
        <v>14</v>
      </c>
      <c r="AU592" s="9">
        <v>19</v>
      </c>
      <c r="AV592" s="9">
        <v>12</v>
      </c>
      <c r="AW592" s="9">
        <v>15</v>
      </c>
      <c r="AX592" s="9">
        <v>11</v>
      </c>
      <c r="AY592" s="9">
        <v>18</v>
      </c>
      <c r="AZ592" s="9">
        <v>22</v>
      </c>
    </row>
    <row r="593" spans="2:52">
      <c r="B593" t="str">
        <f t="shared" si="45"/>
        <v>Jul</v>
      </c>
      <c r="C593" s="43">
        <f t="shared" si="46"/>
        <v>46208</v>
      </c>
      <c r="D593" s="44">
        <f t="shared" si="47"/>
        <v>46201</v>
      </c>
      <c r="E593" s="9" t="s">
        <v>42</v>
      </c>
      <c r="F593">
        <f t="shared" si="48"/>
        <v>0</v>
      </c>
      <c r="G593">
        <f t="shared" si="49"/>
        <v>8</v>
      </c>
      <c r="AJ593" s="40">
        <v>46201</v>
      </c>
      <c r="AK593" s="9" t="s">
        <v>42</v>
      </c>
      <c r="AL593" s="9" t="s">
        <v>42</v>
      </c>
      <c r="AM593" s="9"/>
      <c r="AN593" s="9">
        <v>13</v>
      </c>
      <c r="AO593" s="9">
        <v>11</v>
      </c>
      <c r="AP593" s="9">
        <v>13</v>
      </c>
      <c r="AQ593" s="9">
        <v>10</v>
      </c>
      <c r="AR593" s="9">
        <v>16</v>
      </c>
      <c r="AS593" s="9">
        <v>22</v>
      </c>
      <c r="AT593" s="9">
        <v>25</v>
      </c>
      <c r="AU593" s="9">
        <v>0</v>
      </c>
      <c r="AV593" s="9">
        <v>0</v>
      </c>
      <c r="AW593" s="9">
        <v>0</v>
      </c>
      <c r="AX593" s="9">
        <v>6</v>
      </c>
      <c r="AY593" s="9">
        <v>10</v>
      </c>
      <c r="AZ593" s="9">
        <v>16</v>
      </c>
    </row>
    <row r="594" spans="2:52">
      <c r="B594" t="str">
        <f t="shared" si="45"/>
        <v>Jul</v>
      </c>
      <c r="C594" s="43">
        <f t="shared" si="46"/>
        <v>46208</v>
      </c>
      <c r="D594" s="44">
        <f t="shared" si="47"/>
        <v>46202</v>
      </c>
      <c r="E594" s="9" t="s">
        <v>31</v>
      </c>
      <c r="F594">
        <f t="shared" si="48"/>
        <v>0</v>
      </c>
      <c r="G594">
        <f t="shared" si="49"/>
        <v>-68</v>
      </c>
      <c r="AJ594" s="40">
        <v>46202</v>
      </c>
      <c r="AK594" s="9" t="s">
        <v>204</v>
      </c>
      <c r="AL594" s="9" t="s">
        <v>31</v>
      </c>
      <c r="AM594" s="9"/>
      <c r="AN594" s="9">
        <v>0</v>
      </c>
      <c r="AO594" s="9">
        <v>3</v>
      </c>
      <c r="AP594" s="9">
        <v>0</v>
      </c>
      <c r="AQ594" s="9">
        <v>43</v>
      </c>
      <c r="AR594" s="9">
        <v>45</v>
      </c>
      <c r="AS594" s="9">
        <v>87</v>
      </c>
      <c r="AT594" s="9">
        <v>92</v>
      </c>
      <c r="AU594" s="9">
        <v>91</v>
      </c>
      <c r="AV594" s="9">
        <v>81</v>
      </c>
      <c r="AW594" s="9">
        <v>92</v>
      </c>
      <c r="AX594" s="9">
        <v>102</v>
      </c>
      <c r="AY594" s="9">
        <v>104</v>
      </c>
      <c r="AZ594" s="9">
        <v>0</v>
      </c>
    </row>
    <row r="595" spans="2:52">
      <c r="B595" t="str">
        <f t="shared" si="45"/>
        <v>Jul</v>
      </c>
      <c r="C595" s="43">
        <f t="shared" si="46"/>
        <v>46208</v>
      </c>
      <c r="D595" s="44">
        <f t="shared" si="47"/>
        <v>46202</v>
      </c>
      <c r="E595" s="9" t="s">
        <v>39</v>
      </c>
      <c r="F595">
        <f t="shared" si="48"/>
        <v>0</v>
      </c>
      <c r="G595">
        <f t="shared" si="49"/>
        <v>-47</v>
      </c>
      <c r="AJ595" s="40">
        <v>46202</v>
      </c>
      <c r="AK595" s="9" t="s">
        <v>205</v>
      </c>
      <c r="AL595" s="9" t="s">
        <v>39</v>
      </c>
      <c r="AM595" s="9"/>
      <c r="AN595" s="9">
        <v>97</v>
      </c>
      <c r="AO595" s="9">
        <v>83</v>
      </c>
      <c r="AP595" s="9">
        <v>73</v>
      </c>
      <c r="AQ595" s="9">
        <v>71</v>
      </c>
      <c r="AR595" s="9">
        <v>103</v>
      </c>
      <c r="AS595" s="9">
        <v>95</v>
      </c>
      <c r="AT595" s="9">
        <v>109</v>
      </c>
      <c r="AU595" s="9">
        <v>114</v>
      </c>
      <c r="AV595" s="9">
        <v>102</v>
      </c>
      <c r="AW595" s="9">
        <v>90</v>
      </c>
      <c r="AX595" s="9">
        <v>80</v>
      </c>
      <c r="AY595" s="9">
        <v>0</v>
      </c>
      <c r="AZ595" s="9">
        <v>33</v>
      </c>
    </row>
    <row r="596" spans="2:52">
      <c r="B596" t="str">
        <f t="shared" si="45"/>
        <v>Jul</v>
      </c>
      <c r="C596" s="43">
        <f t="shared" si="46"/>
        <v>46208</v>
      </c>
      <c r="D596" s="44">
        <f t="shared" si="47"/>
        <v>46202</v>
      </c>
      <c r="E596" s="9" t="s">
        <v>40</v>
      </c>
      <c r="F596">
        <f t="shared" si="48"/>
        <v>0</v>
      </c>
      <c r="G596">
        <f t="shared" si="49"/>
        <v>-214</v>
      </c>
      <c r="AJ596" s="40">
        <v>46202</v>
      </c>
      <c r="AK596" s="9" t="s">
        <v>205</v>
      </c>
      <c r="AL596" s="9" t="s">
        <v>40</v>
      </c>
      <c r="AM596" s="9"/>
      <c r="AN596" s="9">
        <v>56</v>
      </c>
      <c r="AO596" s="9">
        <v>52</v>
      </c>
      <c r="AP596" s="9">
        <v>100</v>
      </c>
      <c r="AQ596" s="9">
        <v>92</v>
      </c>
      <c r="AR596" s="9">
        <v>94</v>
      </c>
      <c r="AS596" s="9">
        <v>98</v>
      </c>
      <c r="AT596" s="9">
        <v>0</v>
      </c>
      <c r="AU596" s="9">
        <v>156</v>
      </c>
      <c r="AV596" s="9">
        <v>168</v>
      </c>
      <c r="AW596" s="9">
        <v>240</v>
      </c>
      <c r="AX596" s="9">
        <v>240</v>
      </c>
      <c r="AY596" s="9">
        <v>233</v>
      </c>
      <c r="AZ596" s="9">
        <v>0</v>
      </c>
    </row>
    <row r="597" spans="2:52">
      <c r="B597" t="str">
        <f t="shared" si="45"/>
        <v>Jul</v>
      </c>
      <c r="C597" s="43">
        <f t="shared" si="46"/>
        <v>46208</v>
      </c>
      <c r="D597" s="44">
        <f t="shared" si="47"/>
        <v>46202</v>
      </c>
      <c r="E597" s="9" t="s">
        <v>41</v>
      </c>
      <c r="F597">
        <f t="shared" si="48"/>
        <v>0</v>
      </c>
      <c r="G597">
        <f t="shared" si="49"/>
        <v>115</v>
      </c>
      <c r="AJ597" s="40">
        <v>46202</v>
      </c>
      <c r="AK597" s="9" t="s">
        <v>41</v>
      </c>
      <c r="AL597" s="9" t="s">
        <v>41</v>
      </c>
      <c r="AM597" s="9"/>
      <c r="AN597" s="9">
        <v>19</v>
      </c>
      <c r="AO597" s="9">
        <v>0</v>
      </c>
      <c r="AP597" s="9">
        <v>0</v>
      </c>
      <c r="AQ597" s="9">
        <v>0</v>
      </c>
      <c r="AR597" s="9">
        <v>0</v>
      </c>
      <c r="AS597" s="9">
        <v>0</v>
      </c>
      <c r="AT597" s="9">
        <v>10</v>
      </c>
      <c r="AU597" s="9">
        <v>12</v>
      </c>
      <c r="AV597" s="9">
        <v>16</v>
      </c>
      <c r="AW597" s="9">
        <v>0</v>
      </c>
      <c r="AX597" s="9">
        <v>14</v>
      </c>
      <c r="AY597" s="9">
        <v>12</v>
      </c>
      <c r="AZ597" s="9">
        <v>115</v>
      </c>
    </row>
    <row r="598" spans="2:52">
      <c r="B598" t="str">
        <f t="shared" si="45"/>
        <v>Jul</v>
      </c>
      <c r="C598" s="43">
        <f t="shared" si="46"/>
        <v>46208</v>
      </c>
      <c r="D598" s="44">
        <f t="shared" si="47"/>
        <v>46202</v>
      </c>
      <c r="E598" s="9" t="s">
        <v>45</v>
      </c>
      <c r="F598">
        <f t="shared" si="48"/>
        <v>0</v>
      </c>
      <c r="G598">
        <f t="shared" si="49"/>
        <v>2</v>
      </c>
      <c r="AJ598" s="40">
        <v>46202</v>
      </c>
      <c r="AK598" s="9" t="s">
        <v>202</v>
      </c>
      <c r="AL598" s="9" t="s">
        <v>45</v>
      </c>
      <c r="AM598" s="9"/>
      <c r="AN598" s="9">
        <v>0</v>
      </c>
      <c r="AO598" s="9">
        <v>0</v>
      </c>
      <c r="AP598" s="9">
        <v>11</v>
      </c>
      <c r="AQ598" s="9">
        <v>8</v>
      </c>
      <c r="AR598" s="9">
        <v>1</v>
      </c>
      <c r="AS598" s="9">
        <v>0</v>
      </c>
      <c r="AT598" s="9">
        <v>1</v>
      </c>
      <c r="AU598" s="9">
        <v>6</v>
      </c>
      <c r="AV598" s="9">
        <v>9</v>
      </c>
      <c r="AW598" s="9">
        <v>14</v>
      </c>
      <c r="AX598" s="9">
        <v>7</v>
      </c>
      <c r="AY598" s="9">
        <v>0</v>
      </c>
      <c r="AZ598" s="9">
        <v>8</v>
      </c>
    </row>
    <row r="599" spans="2:52">
      <c r="B599" t="str">
        <f t="shared" si="45"/>
        <v>Jul</v>
      </c>
      <c r="C599" s="43">
        <f t="shared" si="46"/>
        <v>46208</v>
      </c>
      <c r="D599" s="44">
        <f t="shared" si="47"/>
        <v>46202</v>
      </c>
      <c r="E599" s="9" t="s">
        <v>46</v>
      </c>
      <c r="F599">
        <f t="shared" si="48"/>
        <v>0</v>
      </c>
      <c r="G599">
        <f t="shared" si="49"/>
        <v>2</v>
      </c>
      <c r="AJ599" s="40">
        <v>46202</v>
      </c>
      <c r="AK599" s="9" t="s">
        <v>202</v>
      </c>
      <c r="AL599" s="9" t="s">
        <v>46</v>
      </c>
      <c r="AM599" s="9"/>
      <c r="AN599" s="9">
        <v>4</v>
      </c>
      <c r="AO599" s="9">
        <v>8</v>
      </c>
      <c r="AP599" s="9">
        <v>5</v>
      </c>
      <c r="AQ599" s="9">
        <v>10</v>
      </c>
      <c r="AR599" s="9">
        <v>7</v>
      </c>
      <c r="AS599" s="9">
        <v>0</v>
      </c>
      <c r="AT599" s="9">
        <v>11</v>
      </c>
      <c r="AU599" s="9">
        <v>14</v>
      </c>
      <c r="AV599" s="9">
        <v>11</v>
      </c>
      <c r="AW599" s="9">
        <v>12</v>
      </c>
      <c r="AX599" s="9">
        <v>10</v>
      </c>
      <c r="AY599" s="9">
        <v>12</v>
      </c>
      <c r="AZ599" s="9">
        <v>8</v>
      </c>
    </row>
    <row r="600" spans="2:52">
      <c r="B600" t="str">
        <f t="shared" si="45"/>
        <v>Jul</v>
      </c>
      <c r="C600" s="43">
        <f t="shared" si="46"/>
        <v>46208</v>
      </c>
      <c r="D600" s="44">
        <f t="shared" si="47"/>
        <v>46202</v>
      </c>
      <c r="E600" s="9" t="s">
        <v>47</v>
      </c>
      <c r="F600">
        <f t="shared" si="48"/>
        <v>0</v>
      </c>
      <c r="G600">
        <f t="shared" si="49"/>
        <v>21</v>
      </c>
      <c r="AJ600" s="40">
        <v>46202</v>
      </c>
      <c r="AK600" s="9" t="s">
        <v>202</v>
      </c>
      <c r="AL600" s="9" t="s">
        <v>47</v>
      </c>
      <c r="AM600" s="9"/>
      <c r="AN600" s="9">
        <v>0</v>
      </c>
      <c r="AO600" s="9">
        <v>1</v>
      </c>
      <c r="AP600" s="9">
        <v>1</v>
      </c>
      <c r="AQ600" s="9">
        <v>3</v>
      </c>
      <c r="AR600" s="9">
        <v>1</v>
      </c>
      <c r="AS600" s="9">
        <v>0</v>
      </c>
      <c r="AT600" s="9">
        <v>48</v>
      </c>
      <c r="AU600" s="9">
        <v>52</v>
      </c>
      <c r="AV600" s="9">
        <v>15</v>
      </c>
      <c r="AW600" s="9">
        <v>0</v>
      </c>
      <c r="AX600" s="9">
        <v>13</v>
      </c>
      <c r="AY600" s="9">
        <v>17</v>
      </c>
      <c r="AZ600" s="9">
        <v>21</v>
      </c>
    </row>
    <row r="601" spans="2:52">
      <c r="B601" t="str">
        <f t="shared" si="45"/>
        <v>Jul</v>
      </c>
      <c r="C601" s="43">
        <f t="shared" si="46"/>
        <v>46208</v>
      </c>
      <c r="D601" s="44">
        <f t="shared" si="47"/>
        <v>46202</v>
      </c>
      <c r="E601" s="9" t="s">
        <v>206</v>
      </c>
      <c r="F601">
        <f t="shared" si="48"/>
        <v>0</v>
      </c>
      <c r="G601">
        <f t="shared" si="49"/>
        <v>-75</v>
      </c>
      <c r="AJ601" s="40">
        <v>46202</v>
      </c>
      <c r="AK601" s="9" t="s">
        <v>43</v>
      </c>
      <c r="AL601" s="9" t="s">
        <v>206</v>
      </c>
      <c r="AM601" s="9"/>
      <c r="AN601" s="9">
        <v>58</v>
      </c>
      <c r="AO601" s="9">
        <v>61</v>
      </c>
      <c r="AP601" s="9">
        <v>55</v>
      </c>
      <c r="AQ601" s="9">
        <v>61</v>
      </c>
      <c r="AR601" s="9">
        <v>56</v>
      </c>
      <c r="AS601" s="9">
        <v>54</v>
      </c>
      <c r="AT601" s="9">
        <v>0</v>
      </c>
      <c r="AU601" s="9">
        <v>3</v>
      </c>
      <c r="AV601" s="9">
        <v>7</v>
      </c>
      <c r="AW601" s="9">
        <v>1</v>
      </c>
      <c r="AX601" s="9">
        <v>0</v>
      </c>
      <c r="AY601" s="9">
        <v>10</v>
      </c>
      <c r="AZ601" s="9">
        <v>6</v>
      </c>
    </row>
    <row r="602" spans="2:52">
      <c r="B602" t="str">
        <f t="shared" si="45"/>
        <v>Jul</v>
      </c>
      <c r="C602" s="43">
        <f t="shared" si="46"/>
        <v>46208</v>
      </c>
      <c r="D602" s="44">
        <f t="shared" si="47"/>
        <v>46202</v>
      </c>
      <c r="E602" s="9" t="s">
        <v>207</v>
      </c>
      <c r="F602">
        <f t="shared" si="48"/>
        <v>0</v>
      </c>
      <c r="G602">
        <f t="shared" si="49"/>
        <v>-20</v>
      </c>
      <c r="AJ602" s="40">
        <v>46202</v>
      </c>
      <c r="AK602" s="9" t="s">
        <v>203</v>
      </c>
      <c r="AL602" s="9" t="s">
        <v>207</v>
      </c>
      <c r="AM602" s="9"/>
      <c r="AN602" s="9">
        <v>0</v>
      </c>
      <c r="AO602" s="9">
        <v>3</v>
      </c>
      <c r="AP602" s="9">
        <v>0</v>
      </c>
      <c r="AQ602" s="9">
        <v>17</v>
      </c>
      <c r="AR602" s="9">
        <v>13</v>
      </c>
      <c r="AS602" s="9">
        <v>21</v>
      </c>
      <c r="AT602" s="9">
        <v>23</v>
      </c>
      <c r="AU602" s="9">
        <v>32</v>
      </c>
      <c r="AV602" s="9">
        <v>25</v>
      </c>
      <c r="AW602" s="9">
        <v>21</v>
      </c>
      <c r="AX602" s="9">
        <v>0</v>
      </c>
      <c r="AY602" s="9">
        <v>0</v>
      </c>
      <c r="AZ602" s="9">
        <v>2</v>
      </c>
    </row>
    <row r="603" spans="2:52">
      <c r="B603" t="str">
        <f t="shared" si="45"/>
        <v>Jul</v>
      </c>
      <c r="C603" s="43">
        <f t="shared" si="46"/>
        <v>46208</v>
      </c>
      <c r="D603" s="44">
        <f t="shared" si="47"/>
        <v>46202</v>
      </c>
      <c r="E603" s="9" t="s">
        <v>42</v>
      </c>
      <c r="F603">
        <f t="shared" si="48"/>
        <v>0</v>
      </c>
      <c r="G603">
        <f t="shared" si="49"/>
        <v>-5</v>
      </c>
      <c r="AJ603" s="40">
        <v>46202</v>
      </c>
      <c r="AK603" s="9" t="s">
        <v>42</v>
      </c>
      <c r="AL603" s="9" t="s">
        <v>42</v>
      </c>
      <c r="AM603" s="9"/>
      <c r="AN603" s="9">
        <v>32</v>
      </c>
      <c r="AO603" s="9">
        <v>38</v>
      </c>
      <c r="AP603" s="9">
        <v>35</v>
      </c>
      <c r="AQ603" s="9">
        <v>80</v>
      </c>
      <c r="AR603" s="9">
        <v>86</v>
      </c>
      <c r="AS603" s="9">
        <v>83</v>
      </c>
      <c r="AT603" s="9">
        <v>77</v>
      </c>
      <c r="AU603" s="9">
        <v>0</v>
      </c>
      <c r="AV603" s="9">
        <v>0</v>
      </c>
      <c r="AW603" s="9">
        <v>6</v>
      </c>
      <c r="AX603" s="9">
        <v>10</v>
      </c>
      <c r="AY603" s="9">
        <v>9</v>
      </c>
      <c r="AZ603" s="9">
        <v>11</v>
      </c>
    </row>
    <row r="604" spans="2:52">
      <c r="B604" t="str">
        <f t="shared" si="45"/>
        <v>Jul</v>
      </c>
      <c r="C604" s="43">
        <f t="shared" si="46"/>
        <v>46208</v>
      </c>
      <c r="D604" s="44">
        <f t="shared" si="47"/>
        <v>46203</v>
      </c>
      <c r="E604" s="9" t="s">
        <v>31</v>
      </c>
      <c r="F604">
        <f t="shared" si="48"/>
        <v>0</v>
      </c>
      <c r="G604">
        <f t="shared" si="49"/>
        <v>46</v>
      </c>
      <c r="AJ604" s="40">
        <v>46203</v>
      </c>
      <c r="AK604" s="9" t="s">
        <v>204</v>
      </c>
      <c r="AL604" s="9" t="s">
        <v>31</v>
      </c>
      <c r="AM604" s="9"/>
      <c r="AN604" s="9">
        <v>0</v>
      </c>
      <c r="AO604" s="9">
        <v>0</v>
      </c>
      <c r="AP604" s="9">
        <v>48</v>
      </c>
      <c r="AQ604" s="9">
        <v>56</v>
      </c>
      <c r="AR604" s="9">
        <v>55</v>
      </c>
      <c r="AS604" s="9">
        <v>40</v>
      </c>
      <c r="AT604" s="9">
        <v>1</v>
      </c>
      <c r="AU604" s="9">
        <v>0</v>
      </c>
      <c r="AV604" s="9">
        <v>72</v>
      </c>
      <c r="AW604" s="9">
        <v>18</v>
      </c>
      <c r="AX604" s="9">
        <v>27</v>
      </c>
      <c r="AY604" s="9">
        <v>37</v>
      </c>
      <c r="AZ604" s="9">
        <v>46</v>
      </c>
    </row>
    <row r="605" spans="2:52">
      <c r="B605" t="str">
        <f t="shared" si="45"/>
        <v>Jul</v>
      </c>
      <c r="C605" s="43">
        <f t="shared" si="46"/>
        <v>46208</v>
      </c>
      <c r="D605" s="44">
        <f t="shared" si="47"/>
        <v>46203</v>
      </c>
      <c r="E605" s="9" t="s">
        <v>39</v>
      </c>
      <c r="F605">
        <f t="shared" si="48"/>
        <v>0</v>
      </c>
      <c r="G605">
        <f t="shared" si="49"/>
        <v>15</v>
      </c>
      <c r="AJ605" s="40">
        <v>46203</v>
      </c>
      <c r="AK605" s="9" t="s">
        <v>205</v>
      </c>
      <c r="AL605" s="9" t="s">
        <v>39</v>
      </c>
      <c r="AM605" s="9"/>
      <c r="AN605" s="9">
        <v>76</v>
      </c>
      <c r="AO605" s="9">
        <v>39</v>
      </c>
      <c r="AP605" s="9">
        <v>37</v>
      </c>
      <c r="AQ605" s="9">
        <v>43</v>
      </c>
      <c r="AR605" s="9">
        <v>30</v>
      </c>
      <c r="AS605" s="9">
        <v>33</v>
      </c>
      <c r="AT605" s="9">
        <v>28</v>
      </c>
      <c r="AU605" s="9">
        <v>36</v>
      </c>
      <c r="AV605" s="9">
        <v>47</v>
      </c>
      <c r="AW605" s="9">
        <v>47</v>
      </c>
      <c r="AX605" s="9">
        <v>58</v>
      </c>
      <c r="AY605" s="9">
        <v>62</v>
      </c>
      <c r="AZ605" s="9">
        <v>48</v>
      </c>
    </row>
    <row r="606" spans="2:52">
      <c r="B606" t="str">
        <f t="shared" si="45"/>
        <v>Jul</v>
      </c>
      <c r="C606" s="43">
        <f t="shared" si="46"/>
        <v>46208</v>
      </c>
      <c r="D606" s="44">
        <f t="shared" si="47"/>
        <v>46203</v>
      </c>
      <c r="E606" s="9" t="s">
        <v>40</v>
      </c>
      <c r="F606">
        <f t="shared" si="48"/>
        <v>0</v>
      </c>
      <c r="G606">
        <f t="shared" si="49"/>
        <v>90</v>
      </c>
      <c r="AJ606" s="40">
        <v>46203</v>
      </c>
      <c r="AK606" s="9" t="s">
        <v>205</v>
      </c>
      <c r="AL606" s="9" t="s">
        <v>40</v>
      </c>
      <c r="AM606" s="9"/>
      <c r="AN606" s="9">
        <v>83</v>
      </c>
      <c r="AO606" s="9">
        <v>73</v>
      </c>
      <c r="AP606" s="9">
        <v>38</v>
      </c>
      <c r="AQ606" s="9">
        <v>29</v>
      </c>
      <c r="AR606" s="9">
        <v>44</v>
      </c>
      <c r="AS606" s="9">
        <v>45</v>
      </c>
      <c r="AT606" s="9">
        <v>71</v>
      </c>
      <c r="AU606" s="9">
        <v>82</v>
      </c>
      <c r="AV606" s="9">
        <v>87</v>
      </c>
      <c r="AW606" s="9">
        <v>79</v>
      </c>
      <c r="AX606" s="9">
        <v>57</v>
      </c>
      <c r="AY606" s="9">
        <v>49</v>
      </c>
      <c r="AZ606" s="9">
        <v>90</v>
      </c>
    </row>
    <row r="607" spans="2:52">
      <c r="B607" t="str">
        <f t="shared" si="45"/>
        <v>Jul</v>
      </c>
      <c r="C607" s="43">
        <f t="shared" si="46"/>
        <v>46208</v>
      </c>
      <c r="D607" s="44">
        <f t="shared" si="47"/>
        <v>46203</v>
      </c>
      <c r="E607" s="9" t="s">
        <v>41</v>
      </c>
      <c r="F607">
        <f t="shared" si="48"/>
        <v>0</v>
      </c>
      <c r="G607">
        <f t="shared" si="49"/>
        <v>-113</v>
      </c>
      <c r="AJ607" s="40">
        <v>46203</v>
      </c>
      <c r="AK607" s="9" t="s">
        <v>41</v>
      </c>
      <c r="AL607" s="9" t="s">
        <v>41</v>
      </c>
      <c r="AM607" s="9"/>
      <c r="AN607" s="9">
        <v>6</v>
      </c>
      <c r="AO607" s="9">
        <v>9</v>
      </c>
      <c r="AP607" s="9">
        <v>13</v>
      </c>
      <c r="AQ607" s="9">
        <v>12</v>
      </c>
      <c r="AR607" s="9">
        <v>0</v>
      </c>
      <c r="AS607" s="9">
        <v>10</v>
      </c>
      <c r="AT607" s="9">
        <v>6</v>
      </c>
      <c r="AU607" s="9">
        <v>2</v>
      </c>
      <c r="AV607" s="9">
        <v>39</v>
      </c>
      <c r="AW607" s="9">
        <v>0</v>
      </c>
      <c r="AX607" s="9">
        <v>2</v>
      </c>
      <c r="AY607" s="9">
        <v>0</v>
      </c>
      <c r="AZ607" s="9">
        <v>2</v>
      </c>
    </row>
    <row r="608" spans="2:52">
      <c r="B608" t="str">
        <f t="shared" si="45"/>
        <v>Jul</v>
      </c>
      <c r="C608" s="43">
        <f t="shared" si="46"/>
        <v>46208</v>
      </c>
      <c r="D608" s="44">
        <f t="shared" si="47"/>
        <v>46203</v>
      </c>
      <c r="E608" s="9" t="s">
        <v>45</v>
      </c>
      <c r="F608">
        <f t="shared" si="48"/>
        <v>0</v>
      </c>
      <c r="G608">
        <f t="shared" si="49"/>
        <v>73</v>
      </c>
      <c r="AJ608" s="40">
        <v>46203</v>
      </c>
      <c r="AK608" s="9" t="s">
        <v>202</v>
      </c>
      <c r="AL608" s="9" t="s">
        <v>45</v>
      </c>
      <c r="AM608" s="9"/>
      <c r="AN608" s="9">
        <v>15</v>
      </c>
      <c r="AO608" s="9">
        <v>23</v>
      </c>
      <c r="AP608" s="9">
        <v>0</v>
      </c>
      <c r="AQ608" s="9">
        <v>8</v>
      </c>
      <c r="AR608" s="9">
        <v>3</v>
      </c>
      <c r="AS608" s="9">
        <v>0</v>
      </c>
      <c r="AT608" s="9">
        <v>0</v>
      </c>
      <c r="AU608" s="9">
        <v>0</v>
      </c>
      <c r="AV608" s="9">
        <v>2</v>
      </c>
      <c r="AW608" s="9">
        <v>59</v>
      </c>
      <c r="AX608" s="9">
        <v>0</v>
      </c>
      <c r="AY608" s="9">
        <v>26</v>
      </c>
      <c r="AZ608" s="9">
        <v>81</v>
      </c>
    </row>
    <row r="609" spans="2:52">
      <c r="B609" t="str">
        <f t="shared" si="45"/>
        <v>Jul</v>
      </c>
      <c r="C609" s="43">
        <f t="shared" si="46"/>
        <v>46208</v>
      </c>
      <c r="D609" s="44">
        <f t="shared" si="47"/>
        <v>46203</v>
      </c>
      <c r="E609" s="9" t="s">
        <v>46</v>
      </c>
      <c r="F609">
        <f t="shared" si="48"/>
        <v>0</v>
      </c>
      <c r="G609">
        <f t="shared" si="49"/>
        <v>-7</v>
      </c>
      <c r="AJ609" s="40">
        <v>46203</v>
      </c>
      <c r="AK609" s="9" t="s">
        <v>202</v>
      </c>
      <c r="AL609" s="9" t="s">
        <v>46</v>
      </c>
      <c r="AM609" s="9"/>
      <c r="AN609" s="9">
        <v>0</v>
      </c>
      <c r="AO609" s="9">
        <v>5</v>
      </c>
      <c r="AP609" s="9">
        <v>6</v>
      </c>
      <c r="AQ609" s="9">
        <v>3</v>
      </c>
      <c r="AR609" s="9">
        <v>6</v>
      </c>
      <c r="AS609" s="9">
        <v>2</v>
      </c>
      <c r="AT609" s="9">
        <v>0</v>
      </c>
      <c r="AU609" s="9">
        <v>6</v>
      </c>
      <c r="AV609" s="9">
        <v>7</v>
      </c>
      <c r="AW609" s="9">
        <v>0</v>
      </c>
      <c r="AX609" s="9">
        <v>6</v>
      </c>
      <c r="AY609" s="9">
        <v>2</v>
      </c>
      <c r="AZ609" s="9">
        <v>1</v>
      </c>
    </row>
    <row r="610" spans="2:52">
      <c r="B610" t="str">
        <f t="shared" si="45"/>
        <v>Jul</v>
      </c>
      <c r="C610" s="43">
        <f t="shared" si="46"/>
        <v>46208</v>
      </c>
      <c r="D610" s="44">
        <f t="shared" si="47"/>
        <v>46203</v>
      </c>
      <c r="E610" s="9" t="s">
        <v>47</v>
      </c>
      <c r="F610">
        <f t="shared" si="48"/>
        <v>0</v>
      </c>
      <c r="G610">
        <f t="shared" si="49"/>
        <v>-5</v>
      </c>
      <c r="AJ610" s="40">
        <v>46203</v>
      </c>
      <c r="AK610" s="9" t="s">
        <v>202</v>
      </c>
      <c r="AL610" s="9" t="s">
        <v>47</v>
      </c>
      <c r="AM610" s="9"/>
      <c r="AN610" s="9">
        <v>31</v>
      </c>
      <c r="AO610" s="9">
        <v>0</v>
      </c>
      <c r="AP610" s="9">
        <v>1</v>
      </c>
      <c r="AQ610" s="9">
        <v>52</v>
      </c>
      <c r="AR610" s="9">
        <v>57</v>
      </c>
      <c r="AS610" s="9">
        <v>59</v>
      </c>
      <c r="AT610" s="9">
        <v>63</v>
      </c>
      <c r="AU610" s="9">
        <v>0</v>
      </c>
      <c r="AV610" s="9">
        <v>9</v>
      </c>
      <c r="AW610" s="9">
        <v>0</v>
      </c>
      <c r="AX610" s="9">
        <v>15</v>
      </c>
      <c r="AY610" s="9">
        <v>17</v>
      </c>
      <c r="AZ610" s="9">
        <v>16</v>
      </c>
    </row>
    <row r="611" spans="2:52">
      <c r="B611" t="str">
        <f t="shared" si="45"/>
        <v>Jul</v>
      </c>
      <c r="C611" s="43">
        <f t="shared" si="46"/>
        <v>46208</v>
      </c>
      <c r="D611" s="44">
        <f t="shared" si="47"/>
        <v>46203</v>
      </c>
      <c r="E611" s="9" t="s">
        <v>206</v>
      </c>
      <c r="F611">
        <f t="shared" si="48"/>
        <v>0</v>
      </c>
      <c r="G611">
        <f t="shared" si="49"/>
        <v>3</v>
      </c>
      <c r="AJ611" s="40">
        <v>46203</v>
      </c>
      <c r="AK611" s="9" t="s">
        <v>43</v>
      </c>
      <c r="AL611" s="9" t="s">
        <v>206</v>
      </c>
      <c r="AM611" s="9"/>
      <c r="AN611" s="9">
        <v>57</v>
      </c>
      <c r="AO611" s="9">
        <v>51</v>
      </c>
      <c r="AP611" s="9">
        <v>110</v>
      </c>
      <c r="AQ611" s="9">
        <v>117</v>
      </c>
      <c r="AR611" s="9">
        <v>0</v>
      </c>
      <c r="AS611" s="9">
        <v>20</v>
      </c>
      <c r="AT611" s="9">
        <v>0</v>
      </c>
      <c r="AU611" s="9">
        <v>5</v>
      </c>
      <c r="AV611" s="9">
        <v>13</v>
      </c>
      <c r="AW611" s="9">
        <v>0</v>
      </c>
      <c r="AX611" s="9">
        <v>10</v>
      </c>
      <c r="AY611" s="9">
        <v>16</v>
      </c>
      <c r="AZ611" s="9">
        <v>9</v>
      </c>
    </row>
    <row r="612" spans="2:52">
      <c r="B612" t="str">
        <f t="shared" si="45"/>
        <v>Jul</v>
      </c>
      <c r="C612" s="43">
        <f t="shared" si="46"/>
        <v>46208</v>
      </c>
      <c r="D612" s="44">
        <f t="shared" si="47"/>
        <v>46203</v>
      </c>
      <c r="E612" s="9" t="s">
        <v>207</v>
      </c>
      <c r="F612">
        <f t="shared" si="48"/>
        <v>0</v>
      </c>
      <c r="G612">
        <f t="shared" si="49"/>
        <v>-2</v>
      </c>
      <c r="AJ612" s="40">
        <v>46203</v>
      </c>
      <c r="AK612" s="9" t="s">
        <v>203</v>
      </c>
      <c r="AL612" s="9" t="s">
        <v>207</v>
      </c>
      <c r="AM612" s="9"/>
      <c r="AN612" s="9">
        <v>0</v>
      </c>
      <c r="AO612" s="9">
        <v>32</v>
      </c>
      <c r="AP612" s="9">
        <v>27</v>
      </c>
      <c r="AQ612" s="9">
        <v>23</v>
      </c>
      <c r="AR612" s="9">
        <v>32</v>
      </c>
      <c r="AS612" s="9">
        <v>36</v>
      </c>
      <c r="AT612" s="9">
        <v>44</v>
      </c>
      <c r="AU612" s="9">
        <v>38</v>
      </c>
      <c r="AV612" s="9">
        <v>103</v>
      </c>
      <c r="AW612" s="9">
        <v>0</v>
      </c>
      <c r="AX612" s="9">
        <v>9</v>
      </c>
      <c r="AY612" s="9">
        <v>13</v>
      </c>
      <c r="AZ612" s="9">
        <v>0</v>
      </c>
    </row>
    <row r="613" spans="2:52">
      <c r="B613" t="str">
        <f t="shared" si="45"/>
        <v>Jul</v>
      </c>
      <c r="C613" s="43">
        <f t="shared" si="46"/>
        <v>46208</v>
      </c>
      <c r="D613" s="44">
        <f t="shared" si="47"/>
        <v>46203</v>
      </c>
      <c r="E613" s="9" t="s">
        <v>42</v>
      </c>
      <c r="F613">
        <f t="shared" si="48"/>
        <v>0</v>
      </c>
      <c r="G613">
        <f t="shared" si="49"/>
        <v>77</v>
      </c>
      <c r="AJ613" s="40">
        <v>46203</v>
      </c>
      <c r="AK613" s="9" t="s">
        <v>42</v>
      </c>
      <c r="AL613" s="9" t="s">
        <v>42</v>
      </c>
      <c r="AM613" s="9"/>
      <c r="AN613" s="9">
        <v>15</v>
      </c>
      <c r="AO613" s="9">
        <v>18</v>
      </c>
      <c r="AP613" s="9">
        <v>24</v>
      </c>
      <c r="AQ613" s="9">
        <v>0</v>
      </c>
      <c r="AR613" s="9">
        <v>0</v>
      </c>
      <c r="AS613" s="9">
        <v>14</v>
      </c>
      <c r="AT613" s="9">
        <v>76</v>
      </c>
      <c r="AU613" s="9">
        <v>119</v>
      </c>
      <c r="AV613" s="9">
        <v>117</v>
      </c>
      <c r="AW613" s="9">
        <v>112</v>
      </c>
      <c r="AX613" s="9">
        <v>117</v>
      </c>
      <c r="AY613" s="9">
        <v>85</v>
      </c>
      <c r="AZ613" s="9">
        <v>88</v>
      </c>
    </row>
    <row r="614" spans="2:52">
      <c r="B614" t="str">
        <f t="shared" si="45"/>
        <v>Jul</v>
      </c>
      <c r="C614" s="43">
        <f t="shared" si="46"/>
        <v>46208</v>
      </c>
      <c r="D614" s="44">
        <f t="shared" si="47"/>
        <v>46204</v>
      </c>
      <c r="E614" s="9" t="s">
        <v>31</v>
      </c>
      <c r="F614">
        <f t="shared" si="48"/>
        <v>0</v>
      </c>
      <c r="G614">
        <f t="shared" si="49"/>
        <v>3</v>
      </c>
      <c r="AJ614" s="40">
        <v>46204</v>
      </c>
      <c r="AK614" s="9" t="s">
        <v>204</v>
      </c>
      <c r="AL614" s="9" t="s">
        <v>31</v>
      </c>
      <c r="AM614" s="9"/>
      <c r="AN614" s="9">
        <v>82</v>
      </c>
      <c r="AO614" s="9">
        <v>76</v>
      </c>
      <c r="AP614" s="9">
        <v>79</v>
      </c>
      <c r="AQ614" s="9">
        <v>0</v>
      </c>
      <c r="AR614" s="9">
        <v>13</v>
      </c>
      <c r="AS614" s="9">
        <v>16</v>
      </c>
      <c r="AT614" s="9">
        <v>5</v>
      </c>
      <c r="AU614" s="9">
        <v>9</v>
      </c>
      <c r="AV614" s="9">
        <v>7</v>
      </c>
      <c r="AW614" s="9">
        <v>0</v>
      </c>
      <c r="AX614" s="9">
        <v>49</v>
      </c>
      <c r="AY614" s="9">
        <v>48</v>
      </c>
      <c r="AZ614" s="9">
        <v>49</v>
      </c>
    </row>
    <row r="615" spans="2:52">
      <c r="B615" t="str">
        <f t="shared" si="45"/>
        <v>Jul</v>
      </c>
      <c r="C615" s="43">
        <f t="shared" si="46"/>
        <v>46208</v>
      </c>
      <c r="D615" s="44">
        <f t="shared" si="47"/>
        <v>46204</v>
      </c>
      <c r="E615" s="9" t="s">
        <v>39</v>
      </c>
      <c r="F615">
        <f t="shared" si="48"/>
        <v>0</v>
      </c>
      <c r="G615">
        <f t="shared" si="49"/>
        <v>-6</v>
      </c>
      <c r="AJ615" s="40">
        <v>46204</v>
      </c>
      <c r="AK615" s="9" t="s">
        <v>205</v>
      </c>
      <c r="AL615" s="9" t="s">
        <v>39</v>
      </c>
      <c r="AM615" s="9"/>
      <c r="AN615" s="9">
        <v>59</v>
      </c>
      <c r="AO615" s="9">
        <v>52</v>
      </c>
      <c r="AP615" s="9">
        <v>39</v>
      </c>
      <c r="AQ615" s="9">
        <v>36</v>
      </c>
      <c r="AR615" s="9">
        <v>41</v>
      </c>
      <c r="AS615" s="9">
        <v>39</v>
      </c>
      <c r="AT615" s="9">
        <v>45</v>
      </c>
      <c r="AU615" s="9">
        <v>0</v>
      </c>
      <c r="AV615" s="9">
        <v>44</v>
      </c>
      <c r="AW615" s="9">
        <v>38</v>
      </c>
      <c r="AX615" s="9">
        <v>46</v>
      </c>
      <c r="AY615" s="9">
        <v>52</v>
      </c>
      <c r="AZ615" s="9">
        <v>42</v>
      </c>
    </row>
    <row r="616" spans="2:52">
      <c r="B616" t="str">
        <f t="shared" si="45"/>
        <v>Jul</v>
      </c>
      <c r="C616" s="43">
        <f t="shared" si="46"/>
        <v>46208</v>
      </c>
      <c r="D616" s="44">
        <f t="shared" si="47"/>
        <v>46204</v>
      </c>
      <c r="E616" s="9" t="s">
        <v>40</v>
      </c>
      <c r="F616">
        <f t="shared" si="48"/>
        <v>0</v>
      </c>
      <c r="G616">
        <f t="shared" si="49"/>
        <v>-90</v>
      </c>
      <c r="AJ616" s="40">
        <v>46204</v>
      </c>
      <c r="AK616" s="9" t="s">
        <v>205</v>
      </c>
      <c r="AL616" s="9" t="s">
        <v>40</v>
      </c>
      <c r="AM616" s="9"/>
      <c r="AN616" s="9">
        <v>74</v>
      </c>
      <c r="AO616" s="9">
        <v>74</v>
      </c>
      <c r="AP616" s="9">
        <v>75</v>
      </c>
      <c r="AQ616" s="9">
        <v>131</v>
      </c>
      <c r="AR616" s="9">
        <v>122</v>
      </c>
      <c r="AS616" s="9">
        <v>134</v>
      </c>
      <c r="AT616" s="9">
        <v>139</v>
      </c>
      <c r="AU616" s="9">
        <v>146</v>
      </c>
      <c r="AV616" s="9">
        <v>137</v>
      </c>
      <c r="AW616" s="9">
        <v>146</v>
      </c>
      <c r="AX616" s="9">
        <v>149</v>
      </c>
      <c r="AY616" s="9">
        <v>0</v>
      </c>
      <c r="AZ616" s="9">
        <v>0</v>
      </c>
    </row>
    <row r="617" spans="2:52">
      <c r="B617" t="str">
        <f t="shared" si="45"/>
        <v>Jul</v>
      </c>
      <c r="C617" s="43">
        <f t="shared" si="46"/>
        <v>46208</v>
      </c>
      <c r="D617" s="44">
        <f t="shared" si="47"/>
        <v>46204</v>
      </c>
      <c r="E617" s="9" t="s">
        <v>41</v>
      </c>
      <c r="F617">
        <f t="shared" si="48"/>
        <v>0</v>
      </c>
      <c r="G617">
        <f t="shared" si="49"/>
        <v>136</v>
      </c>
      <c r="AJ617" s="40">
        <v>46204</v>
      </c>
      <c r="AK617" s="9" t="s">
        <v>41</v>
      </c>
      <c r="AL617" s="9" t="s">
        <v>41</v>
      </c>
      <c r="AM617" s="9"/>
      <c r="AN617" s="9">
        <v>0</v>
      </c>
      <c r="AO617" s="9">
        <v>5</v>
      </c>
      <c r="AP617" s="9">
        <v>6</v>
      </c>
      <c r="AQ617" s="9">
        <v>119</v>
      </c>
      <c r="AR617" s="9">
        <v>118</v>
      </c>
      <c r="AS617" s="9">
        <v>122</v>
      </c>
      <c r="AT617" s="9">
        <v>124</v>
      </c>
      <c r="AU617" s="9">
        <v>129</v>
      </c>
      <c r="AV617" s="9">
        <v>128</v>
      </c>
      <c r="AW617" s="9">
        <v>131</v>
      </c>
      <c r="AX617" s="9">
        <v>133</v>
      </c>
      <c r="AY617" s="9">
        <v>138</v>
      </c>
      <c r="AZ617" s="9">
        <v>138</v>
      </c>
    </row>
    <row r="618" spans="2:52">
      <c r="B618" t="str">
        <f t="shared" si="45"/>
        <v>Jul</v>
      </c>
      <c r="C618" s="43">
        <f t="shared" si="46"/>
        <v>46208</v>
      </c>
      <c r="D618" s="44">
        <f t="shared" si="47"/>
        <v>46204</v>
      </c>
      <c r="E618" s="9" t="s">
        <v>45</v>
      </c>
      <c r="F618">
        <f t="shared" si="48"/>
        <v>0</v>
      </c>
      <c r="G618">
        <f t="shared" si="49"/>
        <v>-53</v>
      </c>
      <c r="AJ618" s="40">
        <v>46204</v>
      </c>
      <c r="AK618" s="9" t="s">
        <v>202</v>
      </c>
      <c r="AL618" s="9" t="s">
        <v>45</v>
      </c>
      <c r="AM618" s="9"/>
      <c r="AN618" s="9">
        <v>43</v>
      </c>
      <c r="AO618" s="9">
        <v>45</v>
      </c>
      <c r="AP618" s="9">
        <v>0</v>
      </c>
      <c r="AQ618" s="9">
        <v>8</v>
      </c>
      <c r="AR618" s="9">
        <v>5</v>
      </c>
      <c r="AS618" s="9">
        <v>5</v>
      </c>
      <c r="AT618" s="9">
        <v>3</v>
      </c>
      <c r="AU618" s="9">
        <v>35</v>
      </c>
      <c r="AV618" s="9">
        <v>32</v>
      </c>
      <c r="AW618" s="9">
        <v>26</v>
      </c>
      <c r="AX618" s="9">
        <v>27</v>
      </c>
      <c r="AY618" s="9">
        <v>28</v>
      </c>
      <c r="AZ618" s="9">
        <v>28</v>
      </c>
    </row>
    <row r="619" spans="2:52">
      <c r="B619" t="str">
        <f t="shared" si="45"/>
        <v>Jul</v>
      </c>
      <c r="C619" s="43">
        <f t="shared" si="46"/>
        <v>46208</v>
      </c>
      <c r="D619" s="44">
        <f t="shared" si="47"/>
        <v>46204</v>
      </c>
      <c r="E619" s="9" t="s">
        <v>46</v>
      </c>
      <c r="F619">
        <f t="shared" si="48"/>
        <v>0</v>
      </c>
      <c r="G619">
        <f t="shared" si="49"/>
        <v>2</v>
      </c>
      <c r="AJ619" s="40">
        <v>46204</v>
      </c>
      <c r="AK619" s="9" t="s">
        <v>202</v>
      </c>
      <c r="AL619" s="9" t="s">
        <v>46</v>
      </c>
      <c r="AM619" s="9"/>
      <c r="AN619" s="9">
        <v>22</v>
      </c>
      <c r="AO619" s="9">
        <v>18</v>
      </c>
      <c r="AP619" s="9">
        <v>20</v>
      </c>
      <c r="AQ619" s="9">
        <v>19</v>
      </c>
      <c r="AR619" s="9">
        <v>58</v>
      </c>
      <c r="AS619" s="9">
        <v>0</v>
      </c>
      <c r="AT619" s="9">
        <v>4</v>
      </c>
      <c r="AU619" s="9">
        <v>3</v>
      </c>
      <c r="AV619" s="9">
        <v>0</v>
      </c>
      <c r="AW619" s="9">
        <v>7</v>
      </c>
      <c r="AX619" s="9">
        <v>11</v>
      </c>
      <c r="AY619" s="9">
        <v>0</v>
      </c>
      <c r="AZ619" s="9">
        <v>3</v>
      </c>
    </row>
    <row r="620" spans="2:52">
      <c r="B620" t="str">
        <f t="shared" si="45"/>
        <v>Jul</v>
      </c>
      <c r="C620" s="43">
        <f t="shared" si="46"/>
        <v>46208</v>
      </c>
      <c r="D620" s="44">
        <f t="shared" si="47"/>
        <v>46204</v>
      </c>
      <c r="E620" s="9" t="s">
        <v>47</v>
      </c>
      <c r="F620">
        <f t="shared" si="48"/>
        <v>0</v>
      </c>
      <c r="G620">
        <f t="shared" si="49"/>
        <v>-16</v>
      </c>
      <c r="AJ620" s="40">
        <v>46204</v>
      </c>
      <c r="AK620" s="9" t="s">
        <v>202</v>
      </c>
      <c r="AL620" s="9" t="s">
        <v>47</v>
      </c>
      <c r="AM620" s="9"/>
      <c r="AN620" s="9">
        <v>0</v>
      </c>
      <c r="AO620" s="9">
        <v>6</v>
      </c>
      <c r="AP620" s="9">
        <v>10</v>
      </c>
      <c r="AQ620" s="9">
        <v>0</v>
      </c>
      <c r="AR620" s="9">
        <v>1</v>
      </c>
      <c r="AS620" s="9">
        <v>0</v>
      </c>
      <c r="AT620" s="9">
        <v>0</v>
      </c>
      <c r="AU620" s="9">
        <v>1</v>
      </c>
      <c r="AV620" s="9">
        <v>2</v>
      </c>
      <c r="AW620" s="9">
        <v>1</v>
      </c>
      <c r="AX620" s="9">
        <v>4</v>
      </c>
      <c r="AY620" s="9">
        <v>9</v>
      </c>
      <c r="AZ620" s="9">
        <v>0</v>
      </c>
    </row>
    <row r="621" spans="2:52">
      <c r="B621" t="str">
        <f t="shared" si="45"/>
        <v>Jul</v>
      </c>
      <c r="C621" s="43">
        <f t="shared" si="46"/>
        <v>46208</v>
      </c>
      <c r="D621" s="44">
        <f t="shared" si="47"/>
        <v>46204</v>
      </c>
      <c r="E621" s="9" t="s">
        <v>206</v>
      </c>
      <c r="F621">
        <f t="shared" si="48"/>
        <v>0</v>
      </c>
      <c r="G621">
        <f t="shared" si="49"/>
        <v>122</v>
      </c>
      <c r="AJ621" s="40">
        <v>46204</v>
      </c>
      <c r="AK621" s="9" t="s">
        <v>43</v>
      </c>
      <c r="AL621" s="9" t="s">
        <v>206</v>
      </c>
      <c r="AM621" s="9"/>
      <c r="AN621" s="9">
        <v>40</v>
      </c>
      <c r="AO621" s="9">
        <v>46</v>
      </c>
      <c r="AP621" s="9">
        <v>97</v>
      </c>
      <c r="AQ621" s="9">
        <v>105</v>
      </c>
      <c r="AR621" s="9">
        <v>110</v>
      </c>
      <c r="AS621" s="9">
        <v>106</v>
      </c>
      <c r="AT621" s="9">
        <v>109</v>
      </c>
      <c r="AU621" s="9">
        <v>107</v>
      </c>
      <c r="AV621" s="9">
        <v>116</v>
      </c>
      <c r="AW621" s="9">
        <v>115</v>
      </c>
      <c r="AX621" s="9">
        <v>122</v>
      </c>
      <c r="AY621" s="9">
        <v>122</v>
      </c>
      <c r="AZ621" s="9">
        <v>131</v>
      </c>
    </row>
    <row r="622" spans="2:52">
      <c r="B622" t="str">
        <f t="shared" si="45"/>
        <v>Jul</v>
      </c>
      <c r="C622" s="43">
        <f t="shared" si="46"/>
        <v>46208</v>
      </c>
      <c r="D622" s="44">
        <f t="shared" si="47"/>
        <v>46204</v>
      </c>
      <c r="E622" s="9" t="s">
        <v>207</v>
      </c>
      <c r="F622">
        <f t="shared" si="48"/>
        <v>0</v>
      </c>
      <c r="G622">
        <f t="shared" si="49"/>
        <v>7</v>
      </c>
      <c r="AJ622" s="40">
        <v>46204</v>
      </c>
      <c r="AK622" s="9" t="s">
        <v>203</v>
      </c>
      <c r="AL622" s="9" t="s">
        <v>207</v>
      </c>
      <c r="AM622" s="9"/>
      <c r="AN622" s="9">
        <v>2</v>
      </c>
      <c r="AO622" s="9">
        <v>10</v>
      </c>
      <c r="AP622" s="9">
        <v>15</v>
      </c>
      <c r="AQ622" s="9">
        <v>0</v>
      </c>
      <c r="AR622" s="9">
        <v>8</v>
      </c>
      <c r="AS622" s="9">
        <v>2</v>
      </c>
      <c r="AT622" s="9">
        <v>0</v>
      </c>
      <c r="AU622" s="9">
        <v>5</v>
      </c>
      <c r="AV622" s="9">
        <v>10</v>
      </c>
      <c r="AW622" s="9">
        <v>2</v>
      </c>
      <c r="AX622" s="9">
        <v>3</v>
      </c>
      <c r="AY622" s="9">
        <v>5</v>
      </c>
      <c r="AZ622" s="9">
        <v>7</v>
      </c>
    </row>
    <row r="623" spans="2:52">
      <c r="B623" t="str">
        <f t="shared" si="45"/>
        <v>Jul</v>
      </c>
      <c r="C623" s="43">
        <f t="shared" si="46"/>
        <v>46208</v>
      </c>
      <c r="D623" s="44">
        <f t="shared" si="47"/>
        <v>46204</v>
      </c>
      <c r="E623" s="9" t="s">
        <v>42</v>
      </c>
      <c r="F623">
        <f t="shared" si="48"/>
        <v>0</v>
      </c>
      <c r="G623">
        <f t="shared" si="49"/>
        <v>-88</v>
      </c>
      <c r="AJ623" s="40">
        <v>46204</v>
      </c>
      <c r="AK623" s="9" t="s">
        <v>42</v>
      </c>
      <c r="AL623" s="9" t="s">
        <v>42</v>
      </c>
      <c r="AM623" s="9"/>
      <c r="AN623" s="9">
        <v>0</v>
      </c>
      <c r="AO623" s="9">
        <v>0</v>
      </c>
      <c r="AP623" s="9">
        <v>0</v>
      </c>
      <c r="AQ623" s="9">
        <v>2</v>
      </c>
      <c r="AR623" s="9">
        <v>5</v>
      </c>
      <c r="AS623" s="9">
        <v>0</v>
      </c>
      <c r="AT623" s="9">
        <v>7</v>
      </c>
      <c r="AU623" s="9">
        <v>7</v>
      </c>
      <c r="AV623" s="9">
        <v>5</v>
      </c>
      <c r="AW623" s="9">
        <v>4</v>
      </c>
      <c r="AX623" s="9">
        <v>5</v>
      </c>
      <c r="AY623" s="9">
        <v>0</v>
      </c>
      <c r="AZ623" s="9">
        <v>0</v>
      </c>
    </row>
    <row r="624" spans="2:52">
      <c r="B624" t="str">
        <f t="shared" si="45"/>
        <v>Jul</v>
      </c>
      <c r="C624" s="43">
        <f t="shared" si="46"/>
        <v>46208</v>
      </c>
      <c r="D624" s="44">
        <f t="shared" si="47"/>
        <v>46205</v>
      </c>
      <c r="E624" s="9" t="s">
        <v>31</v>
      </c>
      <c r="F624">
        <f t="shared" si="48"/>
        <v>0</v>
      </c>
      <c r="G624">
        <f t="shared" si="49"/>
        <v>10</v>
      </c>
      <c r="AJ624" s="40">
        <v>46205</v>
      </c>
      <c r="AK624" s="9" t="s">
        <v>204</v>
      </c>
      <c r="AL624" s="9" t="s">
        <v>31</v>
      </c>
      <c r="AM624" s="9"/>
      <c r="AN624" s="9">
        <v>63</v>
      </c>
      <c r="AO624" s="9">
        <v>56</v>
      </c>
      <c r="AP624" s="9">
        <v>65</v>
      </c>
      <c r="AQ624" s="9">
        <v>68</v>
      </c>
      <c r="AR624" s="9">
        <v>84</v>
      </c>
      <c r="AS624" s="9">
        <v>0</v>
      </c>
      <c r="AT624" s="9">
        <v>34</v>
      </c>
      <c r="AU624" s="9">
        <v>45</v>
      </c>
      <c r="AV624" s="9">
        <v>35</v>
      </c>
      <c r="AW624" s="9">
        <v>0</v>
      </c>
      <c r="AX624" s="9">
        <v>1</v>
      </c>
      <c r="AY624" s="9">
        <v>0</v>
      </c>
      <c r="AZ624" s="9">
        <v>59</v>
      </c>
    </row>
    <row r="625" spans="2:52">
      <c r="B625" t="str">
        <f t="shared" si="45"/>
        <v>Jul</v>
      </c>
      <c r="C625" s="43">
        <f t="shared" si="46"/>
        <v>46208</v>
      </c>
      <c r="D625" s="44">
        <f t="shared" si="47"/>
        <v>46205</v>
      </c>
      <c r="E625" s="9" t="s">
        <v>39</v>
      </c>
      <c r="F625">
        <f t="shared" si="48"/>
        <v>0</v>
      </c>
      <c r="G625">
        <f t="shared" si="49"/>
        <v>-16</v>
      </c>
      <c r="AJ625" s="40">
        <v>46205</v>
      </c>
      <c r="AK625" s="9" t="s">
        <v>205</v>
      </c>
      <c r="AL625" s="9" t="s">
        <v>39</v>
      </c>
      <c r="AM625" s="9"/>
      <c r="AN625" s="9">
        <v>88</v>
      </c>
      <c r="AO625" s="9">
        <v>178</v>
      </c>
      <c r="AP625" s="9">
        <v>187</v>
      </c>
      <c r="AQ625" s="9">
        <v>172</v>
      </c>
      <c r="AR625" s="9">
        <v>202</v>
      </c>
      <c r="AS625" s="9">
        <v>199</v>
      </c>
      <c r="AT625" s="9">
        <v>0</v>
      </c>
      <c r="AU625" s="9">
        <v>0</v>
      </c>
      <c r="AV625" s="9">
        <v>0</v>
      </c>
      <c r="AW625" s="9">
        <v>11</v>
      </c>
      <c r="AX625" s="9">
        <v>18</v>
      </c>
      <c r="AY625" s="9">
        <v>30</v>
      </c>
      <c r="AZ625" s="9">
        <v>26</v>
      </c>
    </row>
    <row r="626" spans="2:52">
      <c r="B626" t="str">
        <f t="shared" si="45"/>
        <v>Jul</v>
      </c>
      <c r="C626" s="43">
        <f t="shared" si="46"/>
        <v>46208</v>
      </c>
      <c r="D626" s="44">
        <f t="shared" si="47"/>
        <v>46205</v>
      </c>
      <c r="E626" s="9" t="s">
        <v>40</v>
      </c>
      <c r="F626">
        <f t="shared" si="48"/>
        <v>0</v>
      </c>
      <c r="G626">
        <f t="shared" si="49"/>
        <v>35</v>
      </c>
      <c r="AJ626" s="40">
        <v>46205</v>
      </c>
      <c r="AK626" s="9" t="s">
        <v>205</v>
      </c>
      <c r="AL626" s="9" t="s">
        <v>40</v>
      </c>
      <c r="AM626" s="9"/>
      <c r="AN626" s="9">
        <v>84</v>
      </c>
      <c r="AO626" s="9">
        <v>95</v>
      </c>
      <c r="AP626" s="9">
        <v>174</v>
      </c>
      <c r="AQ626" s="9">
        <v>0</v>
      </c>
      <c r="AR626" s="9">
        <v>8</v>
      </c>
      <c r="AS626" s="9">
        <v>11</v>
      </c>
      <c r="AT626" s="9">
        <v>0</v>
      </c>
      <c r="AU626" s="9">
        <v>5</v>
      </c>
      <c r="AV626" s="9">
        <v>17</v>
      </c>
      <c r="AW626" s="9">
        <v>29</v>
      </c>
      <c r="AX626" s="9">
        <v>39</v>
      </c>
      <c r="AY626" s="9">
        <v>33</v>
      </c>
      <c r="AZ626" s="9">
        <v>35</v>
      </c>
    </row>
    <row r="627" spans="2:52">
      <c r="B627" t="str">
        <f t="shared" si="45"/>
        <v>Jul</v>
      </c>
      <c r="C627" s="43">
        <f t="shared" si="46"/>
        <v>46208</v>
      </c>
      <c r="D627" s="44">
        <f t="shared" si="47"/>
        <v>46205</v>
      </c>
      <c r="E627" s="9" t="s">
        <v>41</v>
      </c>
      <c r="F627">
        <f t="shared" si="48"/>
        <v>0</v>
      </c>
      <c r="G627">
        <f t="shared" si="49"/>
        <v>-123</v>
      </c>
      <c r="AJ627" s="40">
        <v>46205</v>
      </c>
      <c r="AK627" s="9" t="s">
        <v>41</v>
      </c>
      <c r="AL627" s="9" t="s">
        <v>41</v>
      </c>
      <c r="AM627" s="9"/>
      <c r="AN627" s="9">
        <v>29</v>
      </c>
      <c r="AO627" s="9">
        <v>26</v>
      </c>
      <c r="AP627" s="9">
        <v>25</v>
      </c>
      <c r="AQ627" s="9">
        <v>29</v>
      </c>
      <c r="AR627" s="9">
        <v>31</v>
      </c>
      <c r="AS627" s="9">
        <v>35</v>
      </c>
      <c r="AT627" s="9">
        <v>0</v>
      </c>
      <c r="AU627" s="9">
        <v>0</v>
      </c>
      <c r="AV627" s="9">
        <v>0</v>
      </c>
      <c r="AW627" s="9">
        <v>0</v>
      </c>
      <c r="AX627" s="9">
        <v>0</v>
      </c>
      <c r="AY627" s="9">
        <v>0</v>
      </c>
      <c r="AZ627" s="9">
        <v>15</v>
      </c>
    </row>
    <row r="628" spans="2:52">
      <c r="B628" t="str">
        <f t="shared" si="45"/>
        <v>Jul</v>
      </c>
      <c r="C628" s="43">
        <f t="shared" si="46"/>
        <v>46208</v>
      </c>
      <c r="D628" s="44">
        <f t="shared" si="47"/>
        <v>46205</v>
      </c>
      <c r="E628" s="9" t="s">
        <v>45</v>
      </c>
      <c r="F628">
        <f t="shared" si="48"/>
        <v>0</v>
      </c>
      <c r="G628">
        <f t="shared" si="49"/>
        <v>59</v>
      </c>
      <c r="AJ628" s="40">
        <v>46205</v>
      </c>
      <c r="AK628" s="9" t="s">
        <v>202</v>
      </c>
      <c r="AL628" s="9" t="s">
        <v>45</v>
      </c>
      <c r="AM628" s="9"/>
      <c r="AN628" s="9">
        <v>31</v>
      </c>
      <c r="AO628" s="9">
        <v>76</v>
      </c>
      <c r="AP628" s="9">
        <v>0</v>
      </c>
      <c r="AQ628" s="9">
        <v>14</v>
      </c>
      <c r="AR628" s="9">
        <v>20</v>
      </c>
      <c r="AS628" s="9">
        <v>14</v>
      </c>
      <c r="AT628" s="9">
        <v>51</v>
      </c>
      <c r="AU628" s="9">
        <v>59</v>
      </c>
      <c r="AV628" s="9">
        <v>117</v>
      </c>
      <c r="AW628" s="9">
        <v>81</v>
      </c>
      <c r="AX628" s="9">
        <v>87</v>
      </c>
      <c r="AY628" s="9">
        <v>92</v>
      </c>
      <c r="AZ628" s="9">
        <v>87</v>
      </c>
    </row>
    <row r="629" spans="2:52">
      <c r="B629" t="str">
        <f t="shared" si="45"/>
        <v>Jul</v>
      </c>
      <c r="C629" s="43">
        <f t="shared" si="46"/>
        <v>46208</v>
      </c>
      <c r="D629" s="44">
        <f t="shared" si="47"/>
        <v>46205</v>
      </c>
      <c r="E629" s="9" t="s">
        <v>46</v>
      </c>
      <c r="F629">
        <f t="shared" si="48"/>
        <v>0</v>
      </c>
      <c r="G629">
        <f t="shared" si="49"/>
        <v>-2</v>
      </c>
      <c r="AJ629" s="40">
        <v>46205</v>
      </c>
      <c r="AK629" s="9" t="s">
        <v>202</v>
      </c>
      <c r="AL629" s="9" t="s">
        <v>46</v>
      </c>
      <c r="AM629" s="9"/>
      <c r="AN629" s="9">
        <v>12</v>
      </c>
      <c r="AO629" s="9">
        <v>0</v>
      </c>
      <c r="AP629" s="9">
        <v>1</v>
      </c>
      <c r="AQ629" s="9">
        <v>0</v>
      </c>
      <c r="AR629" s="9">
        <v>0</v>
      </c>
      <c r="AS629" s="9">
        <v>0</v>
      </c>
      <c r="AT629" s="9">
        <v>0</v>
      </c>
      <c r="AU629" s="9">
        <v>5</v>
      </c>
      <c r="AV629" s="9">
        <v>0</v>
      </c>
      <c r="AW629" s="9">
        <v>5</v>
      </c>
      <c r="AX629" s="9">
        <v>4</v>
      </c>
      <c r="AY629" s="9">
        <v>0</v>
      </c>
      <c r="AZ629" s="9">
        <v>1</v>
      </c>
    </row>
    <row r="630" spans="2:52">
      <c r="B630" t="str">
        <f t="shared" si="45"/>
        <v>Jul</v>
      </c>
      <c r="C630" s="43">
        <f t="shared" si="46"/>
        <v>46208</v>
      </c>
      <c r="D630" s="44">
        <f t="shared" si="47"/>
        <v>46205</v>
      </c>
      <c r="E630" s="9" t="s">
        <v>47</v>
      </c>
      <c r="F630">
        <f t="shared" si="48"/>
        <v>0</v>
      </c>
      <c r="G630">
        <f t="shared" si="49"/>
        <v>158</v>
      </c>
      <c r="AJ630" s="40">
        <v>46205</v>
      </c>
      <c r="AK630" s="9" t="s">
        <v>202</v>
      </c>
      <c r="AL630" s="9" t="s">
        <v>47</v>
      </c>
      <c r="AM630" s="9"/>
      <c r="AN630" s="9">
        <v>23</v>
      </c>
      <c r="AO630" s="9">
        <v>19</v>
      </c>
      <c r="AP630" s="9">
        <v>0</v>
      </c>
      <c r="AQ630" s="9">
        <v>0</v>
      </c>
      <c r="AR630" s="9">
        <v>0</v>
      </c>
      <c r="AS630" s="9">
        <v>8</v>
      </c>
      <c r="AT630" s="9">
        <v>13</v>
      </c>
      <c r="AU630" s="9">
        <v>0</v>
      </c>
      <c r="AV630" s="9">
        <v>0</v>
      </c>
      <c r="AW630" s="9">
        <v>8</v>
      </c>
      <c r="AX630" s="9">
        <v>10</v>
      </c>
      <c r="AY630" s="9">
        <v>154</v>
      </c>
      <c r="AZ630" s="9">
        <v>158</v>
      </c>
    </row>
    <row r="631" spans="2:52">
      <c r="B631" t="str">
        <f t="shared" si="45"/>
        <v>Jul</v>
      </c>
      <c r="C631" s="43">
        <f t="shared" si="46"/>
        <v>46208</v>
      </c>
      <c r="D631" s="44">
        <f t="shared" si="47"/>
        <v>46205</v>
      </c>
      <c r="E631" s="9" t="s">
        <v>206</v>
      </c>
      <c r="F631">
        <f t="shared" si="48"/>
        <v>0</v>
      </c>
      <c r="G631">
        <f t="shared" si="49"/>
        <v>-131</v>
      </c>
      <c r="AJ631" s="40">
        <v>46205</v>
      </c>
      <c r="AK631" s="9" t="s">
        <v>43</v>
      </c>
      <c r="AL631" s="9" t="s">
        <v>206</v>
      </c>
      <c r="AM631" s="9"/>
      <c r="AN631" s="9">
        <v>65</v>
      </c>
      <c r="AO631" s="9">
        <v>74</v>
      </c>
      <c r="AP631" s="9">
        <v>70</v>
      </c>
      <c r="AQ631" s="9">
        <v>74</v>
      </c>
      <c r="AR631" s="9">
        <v>79</v>
      </c>
      <c r="AS631" s="9">
        <v>130</v>
      </c>
      <c r="AT631" s="9">
        <v>0</v>
      </c>
      <c r="AU631" s="9">
        <v>2</v>
      </c>
      <c r="AV631" s="9">
        <v>8</v>
      </c>
      <c r="AW631" s="9">
        <v>8</v>
      </c>
      <c r="AX631" s="9">
        <v>11</v>
      </c>
      <c r="AY631" s="9">
        <v>58</v>
      </c>
      <c r="AZ631" s="9">
        <v>0</v>
      </c>
    </row>
    <row r="632" spans="2:52">
      <c r="B632" t="str">
        <f t="shared" si="45"/>
        <v>Jul</v>
      </c>
      <c r="C632" s="43">
        <f t="shared" si="46"/>
        <v>46208</v>
      </c>
      <c r="D632" s="44">
        <f t="shared" si="47"/>
        <v>46205</v>
      </c>
      <c r="E632" s="9" t="s">
        <v>207</v>
      </c>
      <c r="F632">
        <f t="shared" si="48"/>
        <v>0</v>
      </c>
      <c r="G632">
        <f t="shared" si="49"/>
        <v>56</v>
      </c>
      <c r="AJ632" s="40">
        <v>46205</v>
      </c>
      <c r="AK632" s="9" t="s">
        <v>203</v>
      </c>
      <c r="AL632" s="9" t="s">
        <v>207</v>
      </c>
      <c r="AM632" s="9"/>
      <c r="AN632" s="9">
        <v>47</v>
      </c>
      <c r="AO632" s="9">
        <v>48</v>
      </c>
      <c r="AP632" s="9">
        <v>46</v>
      </c>
      <c r="AQ632" s="9">
        <v>52</v>
      </c>
      <c r="AR632" s="9">
        <v>53</v>
      </c>
      <c r="AS632" s="9">
        <v>77</v>
      </c>
      <c r="AT632" s="9">
        <v>83</v>
      </c>
      <c r="AU632" s="9">
        <v>81</v>
      </c>
      <c r="AV632" s="9">
        <v>58</v>
      </c>
      <c r="AW632" s="9">
        <v>55</v>
      </c>
      <c r="AX632" s="9">
        <v>53</v>
      </c>
      <c r="AY632" s="9">
        <v>61</v>
      </c>
      <c r="AZ632" s="9">
        <v>63</v>
      </c>
    </row>
    <row r="633" spans="2:52">
      <c r="B633" t="str">
        <f t="shared" si="45"/>
        <v>Jul</v>
      </c>
      <c r="C633" s="43">
        <f t="shared" si="46"/>
        <v>46208</v>
      </c>
      <c r="D633" s="44">
        <f t="shared" si="47"/>
        <v>46205</v>
      </c>
      <c r="E633" s="9" t="s">
        <v>42</v>
      </c>
      <c r="F633">
        <f t="shared" si="48"/>
        <v>0</v>
      </c>
      <c r="G633">
        <f t="shared" si="49"/>
        <v>0</v>
      </c>
      <c r="AJ633" s="40">
        <v>46205</v>
      </c>
      <c r="AK633" s="9" t="s">
        <v>42</v>
      </c>
      <c r="AL633" s="9" t="s">
        <v>42</v>
      </c>
      <c r="AM633" s="9"/>
      <c r="AN633" s="9">
        <v>44</v>
      </c>
      <c r="AO633" s="9">
        <v>45</v>
      </c>
      <c r="AP633" s="9">
        <v>39</v>
      </c>
      <c r="AQ633" s="9">
        <v>95</v>
      </c>
      <c r="AR633" s="9">
        <v>96</v>
      </c>
      <c r="AS633" s="9">
        <v>99</v>
      </c>
      <c r="AT633" s="9">
        <v>100</v>
      </c>
      <c r="AU633" s="9">
        <v>0</v>
      </c>
      <c r="AV633" s="9">
        <v>17</v>
      </c>
      <c r="AW633" s="9">
        <v>0</v>
      </c>
      <c r="AX633" s="9">
        <v>25</v>
      </c>
      <c r="AY633" s="9">
        <v>27</v>
      </c>
      <c r="AZ633" s="9">
        <v>0</v>
      </c>
    </row>
    <row r="634" spans="2:52">
      <c r="B634" t="str">
        <f t="shared" si="45"/>
        <v>Jul</v>
      </c>
      <c r="C634" s="43">
        <f t="shared" si="46"/>
        <v>46208</v>
      </c>
      <c r="D634" s="44">
        <f t="shared" si="47"/>
        <v>46206</v>
      </c>
      <c r="E634" s="9" t="s">
        <v>31</v>
      </c>
      <c r="F634">
        <f t="shared" si="48"/>
        <v>0</v>
      </c>
      <c r="G634">
        <f t="shared" si="49"/>
        <v>-3</v>
      </c>
      <c r="AJ634" s="40">
        <v>46206</v>
      </c>
      <c r="AK634" s="9" t="s">
        <v>204</v>
      </c>
      <c r="AL634" s="9" t="s">
        <v>31</v>
      </c>
      <c r="AM634" s="9"/>
      <c r="AN634" s="9">
        <v>71</v>
      </c>
      <c r="AO634" s="9">
        <v>63</v>
      </c>
      <c r="AP634" s="9">
        <v>52</v>
      </c>
      <c r="AQ634" s="9">
        <v>121</v>
      </c>
      <c r="AR634" s="9">
        <v>139</v>
      </c>
      <c r="AS634" s="9">
        <v>137</v>
      </c>
      <c r="AT634" s="9">
        <v>0</v>
      </c>
      <c r="AU634" s="9">
        <v>59</v>
      </c>
      <c r="AV634" s="9">
        <v>53</v>
      </c>
      <c r="AW634" s="9">
        <v>44</v>
      </c>
      <c r="AX634" s="9">
        <v>29</v>
      </c>
      <c r="AY634" s="9">
        <v>0</v>
      </c>
      <c r="AZ634" s="9">
        <v>56</v>
      </c>
    </row>
    <row r="635" spans="2:52">
      <c r="B635" t="str">
        <f t="shared" si="45"/>
        <v>Jul</v>
      </c>
      <c r="C635" s="43">
        <f t="shared" si="46"/>
        <v>46208</v>
      </c>
      <c r="D635" s="44">
        <f t="shared" si="47"/>
        <v>46206</v>
      </c>
      <c r="E635" s="9" t="s">
        <v>39</v>
      </c>
      <c r="F635">
        <f t="shared" si="48"/>
        <v>0</v>
      </c>
      <c r="G635">
        <f t="shared" si="49"/>
        <v>13</v>
      </c>
      <c r="AJ635" s="40">
        <v>46206</v>
      </c>
      <c r="AK635" s="9" t="s">
        <v>205</v>
      </c>
      <c r="AL635" s="9" t="s">
        <v>39</v>
      </c>
      <c r="AM635" s="9"/>
      <c r="AN635" s="9">
        <v>59</v>
      </c>
      <c r="AO635" s="9">
        <v>49</v>
      </c>
      <c r="AP635" s="9">
        <v>71</v>
      </c>
      <c r="AQ635" s="9">
        <v>80</v>
      </c>
      <c r="AR635" s="9">
        <v>84</v>
      </c>
      <c r="AS635" s="9">
        <v>86</v>
      </c>
      <c r="AT635" s="9">
        <v>89</v>
      </c>
      <c r="AU635" s="9">
        <v>148</v>
      </c>
      <c r="AV635" s="9">
        <v>0</v>
      </c>
      <c r="AW635" s="9">
        <v>11</v>
      </c>
      <c r="AX635" s="9">
        <v>18</v>
      </c>
      <c r="AY635" s="9">
        <v>23</v>
      </c>
      <c r="AZ635" s="9">
        <v>39</v>
      </c>
    </row>
    <row r="636" spans="2:52">
      <c r="B636" t="str">
        <f t="shared" si="45"/>
        <v>Jul</v>
      </c>
      <c r="C636" s="43">
        <f t="shared" si="46"/>
        <v>46208</v>
      </c>
      <c r="D636" s="44">
        <f t="shared" si="47"/>
        <v>46206</v>
      </c>
      <c r="E636" s="9" t="s">
        <v>40</v>
      </c>
      <c r="F636">
        <f t="shared" si="48"/>
        <v>0</v>
      </c>
      <c r="G636">
        <f t="shared" si="49"/>
        <v>-27</v>
      </c>
      <c r="AJ636" s="40">
        <v>46206</v>
      </c>
      <c r="AK636" s="9" t="s">
        <v>205</v>
      </c>
      <c r="AL636" s="9" t="s">
        <v>40</v>
      </c>
      <c r="AM636" s="9"/>
      <c r="AN636" s="9">
        <v>34</v>
      </c>
      <c r="AO636" s="9">
        <v>31</v>
      </c>
      <c r="AP636" s="9">
        <v>32</v>
      </c>
      <c r="AQ636" s="9">
        <v>26</v>
      </c>
      <c r="AR636" s="9">
        <v>28</v>
      </c>
      <c r="AS636" s="9">
        <v>22</v>
      </c>
      <c r="AT636" s="9">
        <v>30</v>
      </c>
      <c r="AU636" s="9">
        <v>39</v>
      </c>
      <c r="AV636" s="9">
        <v>5</v>
      </c>
      <c r="AW636" s="9">
        <v>12</v>
      </c>
      <c r="AX636" s="9">
        <v>5</v>
      </c>
      <c r="AY636" s="9">
        <v>6</v>
      </c>
      <c r="AZ636" s="9">
        <v>8</v>
      </c>
    </row>
    <row r="637" spans="2:52">
      <c r="B637" t="str">
        <f t="shared" si="45"/>
        <v>Jul</v>
      </c>
      <c r="C637" s="43">
        <f t="shared" si="46"/>
        <v>46208</v>
      </c>
      <c r="D637" s="44">
        <f t="shared" si="47"/>
        <v>46206</v>
      </c>
      <c r="E637" s="9" t="s">
        <v>41</v>
      </c>
      <c r="F637">
        <f t="shared" si="48"/>
        <v>0</v>
      </c>
      <c r="G637">
        <f t="shared" si="49"/>
        <v>54</v>
      </c>
      <c r="AJ637" s="40">
        <v>46206</v>
      </c>
      <c r="AK637" s="9" t="s">
        <v>41</v>
      </c>
      <c r="AL637" s="9" t="s">
        <v>41</v>
      </c>
      <c r="AM637" s="9"/>
      <c r="AN637" s="9">
        <v>28</v>
      </c>
      <c r="AO637" s="9">
        <v>28</v>
      </c>
      <c r="AP637" s="9">
        <v>31</v>
      </c>
      <c r="AQ637" s="9">
        <v>36</v>
      </c>
      <c r="AR637" s="9">
        <v>56</v>
      </c>
      <c r="AS637" s="9">
        <v>59</v>
      </c>
      <c r="AT637" s="9">
        <v>61</v>
      </c>
      <c r="AU637" s="9">
        <v>60</v>
      </c>
      <c r="AV637" s="9">
        <v>63</v>
      </c>
      <c r="AW637" s="9">
        <v>63</v>
      </c>
      <c r="AX637" s="9">
        <v>68</v>
      </c>
      <c r="AY637" s="9">
        <v>73</v>
      </c>
      <c r="AZ637" s="9">
        <v>69</v>
      </c>
    </row>
    <row r="638" spans="2:52">
      <c r="B638" t="str">
        <f t="shared" si="45"/>
        <v>Jul</v>
      </c>
      <c r="C638" s="43">
        <f t="shared" si="46"/>
        <v>46208</v>
      </c>
      <c r="D638" s="44">
        <f t="shared" si="47"/>
        <v>46206</v>
      </c>
      <c r="E638" s="9" t="s">
        <v>45</v>
      </c>
      <c r="F638">
        <f t="shared" si="48"/>
        <v>0</v>
      </c>
      <c r="G638">
        <f t="shared" si="49"/>
        <v>-70</v>
      </c>
      <c r="AJ638" s="40">
        <v>46206</v>
      </c>
      <c r="AK638" s="9" t="s">
        <v>202</v>
      </c>
      <c r="AL638" s="9" t="s">
        <v>45</v>
      </c>
      <c r="AM638" s="9"/>
      <c r="AN638" s="9">
        <v>36</v>
      </c>
      <c r="AO638" s="9">
        <v>31</v>
      </c>
      <c r="AP638" s="9">
        <v>0</v>
      </c>
      <c r="AQ638" s="9">
        <v>6</v>
      </c>
      <c r="AR638" s="9">
        <v>3</v>
      </c>
      <c r="AS638" s="9">
        <v>3</v>
      </c>
      <c r="AT638" s="9">
        <v>0</v>
      </c>
      <c r="AU638" s="9">
        <v>2</v>
      </c>
      <c r="AV638" s="9">
        <v>0</v>
      </c>
      <c r="AW638" s="9">
        <v>20</v>
      </c>
      <c r="AX638" s="9">
        <v>0</v>
      </c>
      <c r="AY638" s="9">
        <v>22</v>
      </c>
      <c r="AZ638" s="9">
        <v>17</v>
      </c>
    </row>
    <row r="639" spans="2:52">
      <c r="B639" t="str">
        <f t="shared" si="45"/>
        <v>Jul</v>
      </c>
      <c r="C639" s="43">
        <f t="shared" si="46"/>
        <v>46208</v>
      </c>
      <c r="D639" s="44">
        <f t="shared" si="47"/>
        <v>46206</v>
      </c>
      <c r="E639" s="9" t="s">
        <v>46</v>
      </c>
      <c r="F639">
        <f t="shared" si="48"/>
        <v>0</v>
      </c>
      <c r="G639">
        <f t="shared" si="49"/>
        <v>8</v>
      </c>
      <c r="AJ639" s="40">
        <v>46206</v>
      </c>
      <c r="AK639" s="9" t="s">
        <v>202</v>
      </c>
      <c r="AL639" s="9" t="s">
        <v>46</v>
      </c>
      <c r="AM639" s="9"/>
      <c r="AN639" s="9">
        <v>10</v>
      </c>
      <c r="AO639" s="9">
        <v>15</v>
      </c>
      <c r="AP639" s="9">
        <v>14</v>
      </c>
      <c r="AQ639" s="9">
        <v>38</v>
      </c>
      <c r="AR639" s="9">
        <v>41</v>
      </c>
      <c r="AS639" s="9">
        <v>38</v>
      </c>
      <c r="AT639" s="9">
        <v>36</v>
      </c>
      <c r="AU639" s="9">
        <v>12</v>
      </c>
      <c r="AV639" s="9">
        <v>14</v>
      </c>
      <c r="AW639" s="9">
        <v>0</v>
      </c>
      <c r="AX639" s="9">
        <v>19</v>
      </c>
      <c r="AY639" s="9">
        <v>0</v>
      </c>
      <c r="AZ639" s="9">
        <v>9</v>
      </c>
    </row>
    <row r="640" spans="2:52">
      <c r="B640" t="str">
        <f t="shared" si="45"/>
        <v>Jul</v>
      </c>
      <c r="C640" s="43">
        <f t="shared" si="46"/>
        <v>46208</v>
      </c>
      <c r="D640" s="44">
        <f t="shared" si="47"/>
        <v>46206</v>
      </c>
      <c r="E640" s="9" t="s">
        <v>47</v>
      </c>
      <c r="F640">
        <f t="shared" si="48"/>
        <v>0</v>
      </c>
      <c r="G640">
        <f t="shared" si="49"/>
        <v>3</v>
      </c>
      <c r="AJ640" s="40">
        <v>46206</v>
      </c>
      <c r="AK640" s="9" t="s">
        <v>202</v>
      </c>
      <c r="AL640" s="9" t="s">
        <v>47</v>
      </c>
      <c r="AM640" s="9"/>
      <c r="AN640" s="9">
        <v>0</v>
      </c>
      <c r="AO640" s="9">
        <v>4</v>
      </c>
      <c r="AP640" s="9">
        <v>4</v>
      </c>
      <c r="AQ640" s="9">
        <v>7</v>
      </c>
      <c r="AR640" s="9">
        <v>6</v>
      </c>
      <c r="AS640" s="9">
        <v>11</v>
      </c>
      <c r="AT640" s="9">
        <v>8</v>
      </c>
      <c r="AU640" s="9">
        <v>11</v>
      </c>
      <c r="AV640" s="9">
        <v>15</v>
      </c>
      <c r="AW640" s="9">
        <v>137</v>
      </c>
      <c r="AX640" s="9">
        <v>156</v>
      </c>
      <c r="AY640" s="9">
        <v>156</v>
      </c>
      <c r="AZ640" s="9">
        <v>161</v>
      </c>
    </row>
    <row r="641" spans="2:52">
      <c r="B641" t="str">
        <f t="shared" si="45"/>
        <v>Jul</v>
      </c>
      <c r="C641" s="43">
        <f t="shared" si="46"/>
        <v>46208</v>
      </c>
      <c r="D641" s="44">
        <f t="shared" si="47"/>
        <v>46206</v>
      </c>
      <c r="E641" s="9" t="s">
        <v>206</v>
      </c>
      <c r="F641">
        <f t="shared" si="48"/>
        <v>0</v>
      </c>
      <c r="G641">
        <f t="shared" si="49"/>
        <v>0</v>
      </c>
      <c r="AJ641" s="40">
        <v>46206</v>
      </c>
      <c r="AK641" s="9" t="s">
        <v>43</v>
      </c>
      <c r="AL641" s="9" t="s">
        <v>206</v>
      </c>
      <c r="AM641" s="9"/>
      <c r="AN641" s="9">
        <v>87</v>
      </c>
      <c r="AO641" s="9">
        <v>85</v>
      </c>
      <c r="AP641" s="9">
        <v>90</v>
      </c>
      <c r="AQ641" s="9">
        <v>64</v>
      </c>
      <c r="AR641" s="9">
        <v>57</v>
      </c>
      <c r="AS641" s="9">
        <v>54</v>
      </c>
      <c r="AT641" s="9">
        <v>58</v>
      </c>
      <c r="AU641" s="9">
        <v>0</v>
      </c>
      <c r="AV641" s="9">
        <v>2</v>
      </c>
      <c r="AW641" s="9">
        <v>7</v>
      </c>
      <c r="AX641" s="9">
        <v>0</v>
      </c>
      <c r="AY641" s="9">
        <v>0</v>
      </c>
      <c r="AZ641" s="9">
        <v>0</v>
      </c>
    </row>
    <row r="642" spans="2:52">
      <c r="B642" t="str">
        <f t="shared" si="45"/>
        <v>Jul</v>
      </c>
      <c r="C642" s="43">
        <f t="shared" si="46"/>
        <v>46208</v>
      </c>
      <c r="D642" s="44">
        <f t="shared" si="47"/>
        <v>46206</v>
      </c>
      <c r="E642" s="9" t="s">
        <v>207</v>
      </c>
      <c r="F642">
        <f t="shared" si="48"/>
        <v>0</v>
      </c>
      <c r="G642">
        <f t="shared" si="49"/>
        <v>-57</v>
      </c>
      <c r="AJ642" s="40">
        <v>46206</v>
      </c>
      <c r="AK642" s="9" t="s">
        <v>203</v>
      </c>
      <c r="AL642" s="9" t="s">
        <v>207</v>
      </c>
      <c r="AM642" s="9"/>
      <c r="AN642" s="9">
        <v>37</v>
      </c>
      <c r="AO642" s="9">
        <v>45</v>
      </c>
      <c r="AP642" s="9">
        <v>50</v>
      </c>
      <c r="AQ642" s="9">
        <v>41</v>
      </c>
      <c r="AR642" s="9">
        <v>0</v>
      </c>
      <c r="AS642" s="9">
        <v>1</v>
      </c>
      <c r="AT642" s="9">
        <v>0</v>
      </c>
      <c r="AU642" s="9">
        <v>30</v>
      </c>
      <c r="AV642" s="9">
        <v>0</v>
      </c>
      <c r="AW642" s="9">
        <v>3</v>
      </c>
      <c r="AX642" s="9">
        <v>2</v>
      </c>
      <c r="AY642" s="9">
        <v>4</v>
      </c>
      <c r="AZ642" s="9">
        <v>6</v>
      </c>
    </row>
    <row r="643" spans="2:52">
      <c r="B643" t="str">
        <f t="shared" si="45"/>
        <v>Jul</v>
      </c>
      <c r="C643" s="43">
        <f t="shared" si="46"/>
        <v>46208</v>
      </c>
      <c r="D643" s="44">
        <f t="shared" si="47"/>
        <v>46206</v>
      </c>
      <c r="E643" s="9" t="s">
        <v>42</v>
      </c>
      <c r="F643">
        <f t="shared" si="48"/>
        <v>0</v>
      </c>
      <c r="G643">
        <f t="shared" si="49"/>
        <v>20</v>
      </c>
      <c r="AJ643" s="40">
        <v>46206</v>
      </c>
      <c r="AK643" s="9" t="s">
        <v>42</v>
      </c>
      <c r="AL643" s="9" t="s">
        <v>42</v>
      </c>
      <c r="AM643" s="9"/>
      <c r="AN643" s="9">
        <v>0</v>
      </c>
      <c r="AO643" s="9">
        <v>0</v>
      </c>
      <c r="AP643" s="9">
        <v>16</v>
      </c>
      <c r="AQ643" s="9">
        <v>15</v>
      </c>
      <c r="AR643" s="9">
        <v>10</v>
      </c>
      <c r="AS643" s="9">
        <v>9</v>
      </c>
      <c r="AT643" s="9">
        <v>7</v>
      </c>
      <c r="AU643" s="9">
        <v>7</v>
      </c>
      <c r="AV643" s="9">
        <v>14</v>
      </c>
      <c r="AW643" s="9">
        <v>16</v>
      </c>
      <c r="AX643" s="9">
        <v>13</v>
      </c>
      <c r="AY643" s="9">
        <v>19</v>
      </c>
      <c r="AZ643" s="9">
        <v>20</v>
      </c>
    </row>
    <row r="644" spans="2:52">
      <c r="B644" t="str">
        <f t="shared" si="45"/>
        <v>Jul</v>
      </c>
      <c r="C644" s="43">
        <f t="shared" si="46"/>
        <v>46208</v>
      </c>
      <c r="D644" s="44">
        <f t="shared" si="47"/>
        <v>46207</v>
      </c>
      <c r="E644" s="9" t="s">
        <v>31</v>
      </c>
      <c r="F644">
        <f t="shared" si="48"/>
        <v>0</v>
      </c>
      <c r="G644">
        <f t="shared" si="49"/>
        <v>-7</v>
      </c>
      <c r="AJ644" s="40">
        <v>46207</v>
      </c>
      <c r="AK644" s="9" t="s">
        <v>204</v>
      </c>
      <c r="AL644" s="9" t="s">
        <v>31</v>
      </c>
      <c r="AM644" s="9"/>
      <c r="AN644" s="9">
        <v>0</v>
      </c>
      <c r="AO644" s="9">
        <v>0</v>
      </c>
      <c r="AP644" s="9">
        <v>2</v>
      </c>
      <c r="AQ644" s="9">
        <v>5</v>
      </c>
      <c r="AR644" s="9">
        <v>0</v>
      </c>
      <c r="AS644" s="9">
        <v>19</v>
      </c>
      <c r="AT644" s="9">
        <v>22</v>
      </c>
      <c r="AU644" s="9">
        <v>15</v>
      </c>
      <c r="AV644" s="9">
        <v>10</v>
      </c>
      <c r="AW644" s="9">
        <v>2</v>
      </c>
      <c r="AX644" s="9">
        <v>44</v>
      </c>
      <c r="AY644" s="9">
        <v>61</v>
      </c>
      <c r="AZ644" s="9">
        <v>49</v>
      </c>
    </row>
    <row r="645" spans="2:52">
      <c r="B645" t="str">
        <f t="shared" ref="B645:B708" si="50">TEXT(C645,"MMM")</f>
        <v>Jul</v>
      </c>
      <c r="C645" s="43">
        <f t="shared" ref="C645:C708" si="51">AJ645+(8-WEEKDAY(AJ645))</f>
        <v>46208</v>
      </c>
      <c r="D645" s="44">
        <f t="shared" ref="D645:D708" si="52">AJ645</f>
        <v>46207</v>
      </c>
      <c r="E645" s="9" t="s">
        <v>39</v>
      </c>
      <c r="F645">
        <f t="shared" ref="F645:F708" si="53">IF(SUM(V645:AI645)&lt;=0,0,SUM(V645:AI645))</f>
        <v>0</v>
      </c>
      <c r="G645">
        <f t="shared" si="49"/>
        <v>-39</v>
      </c>
      <c r="AJ645" s="40">
        <v>46207</v>
      </c>
      <c r="AK645" s="9" t="s">
        <v>205</v>
      </c>
      <c r="AL645" s="9" t="s">
        <v>39</v>
      </c>
      <c r="AM645" s="9"/>
      <c r="AN645" s="9">
        <v>107</v>
      </c>
      <c r="AO645" s="9">
        <v>119</v>
      </c>
      <c r="AP645" s="9">
        <v>109</v>
      </c>
      <c r="AQ645" s="9">
        <v>125</v>
      </c>
      <c r="AR645" s="9">
        <v>117</v>
      </c>
      <c r="AS645" s="9">
        <v>133</v>
      </c>
      <c r="AT645" s="9">
        <v>120</v>
      </c>
      <c r="AU645" s="9">
        <v>221</v>
      </c>
      <c r="AV645" s="9">
        <v>206</v>
      </c>
      <c r="AW645" s="9">
        <v>191</v>
      </c>
      <c r="AX645" s="9">
        <v>189</v>
      </c>
      <c r="AY645" s="9">
        <v>201</v>
      </c>
      <c r="AZ645" s="9">
        <v>0</v>
      </c>
    </row>
    <row r="646" spans="2:52">
      <c r="B646" t="str">
        <f t="shared" si="50"/>
        <v>Jul</v>
      </c>
      <c r="C646" s="43">
        <f t="shared" si="51"/>
        <v>46208</v>
      </c>
      <c r="D646" s="44">
        <f t="shared" si="52"/>
        <v>46207</v>
      </c>
      <c r="E646" s="9" t="s">
        <v>40</v>
      </c>
      <c r="F646">
        <f t="shared" si="53"/>
        <v>0</v>
      </c>
      <c r="G646">
        <f t="shared" si="49"/>
        <v>65</v>
      </c>
      <c r="AJ646" s="40">
        <v>46207</v>
      </c>
      <c r="AK646" s="9" t="s">
        <v>205</v>
      </c>
      <c r="AL646" s="9" t="s">
        <v>40</v>
      </c>
      <c r="AM646" s="9"/>
      <c r="AN646" s="9">
        <v>47</v>
      </c>
      <c r="AO646" s="9">
        <v>111</v>
      </c>
      <c r="AP646" s="9">
        <v>102</v>
      </c>
      <c r="AQ646" s="9">
        <v>0</v>
      </c>
      <c r="AR646" s="9">
        <v>10</v>
      </c>
      <c r="AS646" s="9">
        <v>18</v>
      </c>
      <c r="AT646" s="9">
        <v>11</v>
      </c>
      <c r="AU646" s="9">
        <v>68</v>
      </c>
      <c r="AV646" s="9">
        <v>76</v>
      </c>
      <c r="AW646" s="9">
        <v>69</v>
      </c>
      <c r="AX646" s="9">
        <v>63</v>
      </c>
      <c r="AY646" s="9">
        <v>75</v>
      </c>
      <c r="AZ646" s="9">
        <v>73</v>
      </c>
    </row>
    <row r="647" spans="2:52">
      <c r="B647" t="str">
        <f t="shared" si="50"/>
        <v>Jul</v>
      </c>
      <c r="C647" s="43">
        <f t="shared" si="51"/>
        <v>46208</v>
      </c>
      <c r="D647" s="44">
        <f t="shared" si="52"/>
        <v>46207</v>
      </c>
      <c r="E647" s="9" t="s">
        <v>41</v>
      </c>
      <c r="F647">
        <f t="shared" si="53"/>
        <v>0</v>
      </c>
      <c r="G647">
        <f t="shared" si="49"/>
        <v>-60</v>
      </c>
      <c r="AJ647" s="40">
        <v>46207</v>
      </c>
      <c r="AK647" s="9" t="s">
        <v>41</v>
      </c>
      <c r="AL647" s="9" t="s">
        <v>41</v>
      </c>
      <c r="AM647" s="9"/>
      <c r="AN647" s="9">
        <v>0</v>
      </c>
      <c r="AO647" s="9">
        <v>13</v>
      </c>
      <c r="AP647" s="9">
        <v>14</v>
      </c>
      <c r="AQ647" s="9">
        <v>14</v>
      </c>
      <c r="AR647" s="9">
        <v>12</v>
      </c>
      <c r="AS647" s="9">
        <v>17</v>
      </c>
      <c r="AT647" s="9">
        <v>0</v>
      </c>
      <c r="AU647" s="9">
        <v>0</v>
      </c>
      <c r="AV647" s="9">
        <v>12</v>
      </c>
      <c r="AW647" s="9">
        <v>9</v>
      </c>
      <c r="AX647" s="9">
        <v>9</v>
      </c>
      <c r="AY647" s="9">
        <v>9</v>
      </c>
      <c r="AZ647" s="9">
        <v>9</v>
      </c>
    </row>
    <row r="648" spans="2:52">
      <c r="B648" t="str">
        <f t="shared" si="50"/>
        <v>Jul</v>
      </c>
      <c r="C648" s="43">
        <f t="shared" si="51"/>
        <v>46208</v>
      </c>
      <c r="D648" s="44">
        <f t="shared" si="52"/>
        <v>46207</v>
      </c>
      <c r="E648" s="9" t="s">
        <v>45</v>
      </c>
      <c r="F648">
        <f t="shared" si="53"/>
        <v>0</v>
      </c>
      <c r="G648">
        <f t="shared" si="49"/>
        <v>-17</v>
      </c>
      <c r="AJ648" s="40">
        <v>46207</v>
      </c>
      <c r="AK648" s="9" t="s">
        <v>202</v>
      </c>
      <c r="AL648" s="9" t="s">
        <v>45</v>
      </c>
      <c r="AM648" s="9"/>
      <c r="AN648" s="9">
        <v>54</v>
      </c>
      <c r="AO648" s="9">
        <v>0</v>
      </c>
      <c r="AP648" s="9">
        <v>21</v>
      </c>
      <c r="AQ648" s="9">
        <v>18</v>
      </c>
      <c r="AR648" s="9">
        <v>19</v>
      </c>
      <c r="AS648" s="9">
        <v>0</v>
      </c>
      <c r="AT648" s="9">
        <v>0</v>
      </c>
      <c r="AU648" s="9">
        <v>0</v>
      </c>
      <c r="AV648" s="9">
        <v>0</v>
      </c>
      <c r="AW648" s="9">
        <v>16</v>
      </c>
      <c r="AX648" s="9">
        <v>73</v>
      </c>
      <c r="AY648" s="9">
        <v>77</v>
      </c>
      <c r="AZ648" s="9">
        <v>0</v>
      </c>
    </row>
    <row r="649" spans="2:52">
      <c r="B649" t="str">
        <f t="shared" si="50"/>
        <v>Jul</v>
      </c>
      <c r="C649" s="43">
        <f t="shared" si="51"/>
        <v>46208</v>
      </c>
      <c r="D649" s="44">
        <f t="shared" si="52"/>
        <v>46207</v>
      </c>
      <c r="E649" s="9" t="s">
        <v>46</v>
      </c>
      <c r="F649">
        <f t="shared" si="53"/>
        <v>0</v>
      </c>
      <c r="G649">
        <f t="shared" si="49"/>
        <v>-9</v>
      </c>
      <c r="AJ649" s="40">
        <v>46207</v>
      </c>
      <c r="AK649" s="9" t="s">
        <v>202</v>
      </c>
      <c r="AL649" s="9" t="s">
        <v>46</v>
      </c>
      <c r="AM649" s="9"/>
      <c r="AN649" s="9">
        <v>33</v>
      </c>
      <c r="AO649" s="9">
        <v>0</v>
      </c>
      <c r="AP649" s="9">
        <v>0</v>
      </c>
      <c r="AQ649" s="9">
        <v>14</v>
      </c>
      <c r="AR649" s="9">
        <v>12</v>
      </c>
      <c r="AS649" s="9">
        <v>13</v>
      </c>
      <c r="AT649" s="9">
        <v>16</v>
      </c>
      <c r="AU649" s="9">
        <v>21</v>
      </c>
      <c r="AV649" s="9">
        <v>22</v>
      </c>
      <c r="AW649" s="9">
        <v>19</v>
      </c>
      <c r="AX649" s="9">
        <v>24</v>
      </c>
      <c r="AY649" s="9">
        <v>24</v>
      </c>
      <c r="AZ649" s="9">
        <v>0</v>
      </c>
    </row>
    <row r="650" spans="2:52">
      <c r="B650" t="str">
        <f t="shared" si="50"/>
        <v>Jul</v>
      </c>
      <c r="C650" s="43">
        <f t="shared" si="51"/>
        <v>46208</v>
      </c>
      <c r="D650" s="44">
        <f t="shared" si="52"/>
        <v>46207</v>
      </c>
      <c r="E650" s="9" t="s">
        <v>47</v>
      </c>
      <c r="F650">
        <f t="shared" si="53"/>
        <v>0</v>
      </c>
      <c r="G650">
        <f t="shared" si="49"/>
        <v>-146</v>
      </c>
      <c r="AJ650" s="40">
        <v>46207</v>
      </c>
      <c r="AK650" s="9" t="s">
        <v>202</v>
      </c>
      <c r="AL650" s="9" t="s">
        <v>47</v>
      </c>
      <c r="AM650" s="9"/>
      <c r="AN650" s="9">
        <v>46</v>
      </c>
      <c r="AO650" s="9">
        <v>48</v>
      </c>
      <c r="AP650" s="9">
        <v>0</v>
      </c>
      <c r="AQ650" s="9">
        <v>0</v>
      </c>
      <c r="AR650" s="9">
        <v>40</v>
      </c>
      <c r="AS650" s="9">
        <v>40</v>
      </c>
      <c r="AT650" s="9">
        <v>40</v>
      </c>
      <c r="AU650" s="9">
        <v>43</v>
      </c>
      <c r="AV650" s="9">
        <v>43</v>
      </c>
      <c r="AW650" s="9">
        <v>14</v>
      </c>
      <c r="AX650" s="9">
        <v>13</v>
      </c>
      <c r="AY650" s="9">
        <v>10</v>
      </c>
      <c r="AZ650" s="9">
        <v>15</v>
      </c>
    </row>
    <row r="651" spans="2:52">
      <c r="B651" t="str">
        <f t="shared" si="50"/>
        <v>Jul</v>
      </c>
      <c r="C651" s="43">
        <f t="shared" si="51"/>
        <v>46208</v>
      </c>
      <c r="D651" s="44">
        <f t="shared" si="52"/>
        <v>46207</v>
      </c>
      <c r="E651" s="9" t="s">
        <v>206</v>
      </c>
      <c r="F651">
        <f t="shared" si="53"/>
        <v>0</v>
      </c>
      <c r="G651">
        <f t="shared" si="49"/>
        <v>214</v>
      </c>
      <c r="AJ651" s="40">
        <v>46207</v>
      </c>
      <c r="AK651" s="9" t="s">
        <v>43</v>
      </c>
      <c r="AL651" s="9" t="s">
        <v>206</v>
      </c>
      <c r="AM651" s="9"/>
      <c r="AN651" s="9">
        <v>30</v>
      </c>
      <c r="AO651" s="9">
        <v>34</v>
      </c>
      <c r="AP651" s="9">
        <v>33</v>
      </c>
      <c r="AQ651" s="9">
        <v>26</v>
      </c>
      <c r="AR651" s="9">
        <v>222</v>
      </c>
      <c r="AS651" s="9">
        <v>224</v>
      </c>
      <c r="AT651" s="9">
        <v>240</v>
      </c>
      <c r="AU651" s="9">
        <v>236</v>
      </c>
      <c r="AV651" s="9">
        <v>234</v>
      </c>
      <c r="AW651" s="9">
        <v>227</v>
      </c>
      <c r="AX651" s="9">
        <v>228</v>
      </c>
      <c r="AY651" s="9">
        <v>222</v>
      </c>
      <c r="AZ651" s="9">
        <v>214</v>
      </c>
    </row>
    <row r="652" spans="2:52">
      <c r="B652" t="str">
        <f t="shared" si="50"/>
        <v>Jul</v>
      </c>
      <c r="C652" s="43">
        <f t="shared" si="51"/>
        <v>46208</v>
      </c>
      <c r="D652" s="44">
        <f t="shared" si="52"/>
        <v>46207</v>
      </c>
      <c r="E652" s="9" t="s">
        <v>207</v>
      </c>
      <c r="F652">
        <f t="shared" si="53"/>
        <v>0</v>
      </c>
      <c r="G652">
        <f t="shared" si="49"/>
        <v>20</v>
      </c>
      <c r="AJ652" s="40">
        <v>46207</v>
      </c>
      <c r="AK652" s="9" t="s">
        <v>203</v>
      </c>
      <c r="AL652" s="9" t="s">
        <v>207</v>
      </c>
      <c r="AM652" s="9"/>
      <c r="AN652" s="9">
        <v>35</v>
      </c>
      <c r="AO652" s="9">
        <v>35</v>
      </c>
      <c r="AP652" s="9">
        <v>41</v>
      </c>
      <c r="AQ652" s="9">
        <v>43</v>
      </c>
      <c r="AR652" s="9">
        <v>40</v>
      </c>
      <c r="AS652" s="9">
        <v>57</v>
      </c>
      <c r="AT652" s="9">
        <v>51</v>
      </c>
      <c r="AU652" s="9">
        <v>19</v>
      </c>
      <c r="AV652" s="9">
        <v>11</v>
      </c>
      <c r="AW652" s="9">
        <v>20</v>
      </c>
      <c r="AX652" s="9">
        <v>26</v>
      </c>
      <c r="AY652" s="9">
        <v>0</v>
      </c>
      <c r="AZ652" s="9">
        <v>26</v>
      </c>
    </row>
    <row r="653" spans="2:52">
      <c r="B653" t="str">
        <f t="shared" si="50"/>
        <v>Jul</v>
      </c>
      <c r="C653" s="43">
        <f t="shared" si="51"/>
        <v>46208</v>
      </c>
      <c r="D653" s="44">
        <f t="shared" si="52"/>
        <v>46207</v>
      </c>
      <c r="E653" s="9" t="s">
        <v>42</v>
      </c>
      <c r="F653">
        <f t="shared" si="53"/>
        <v>0</v>
      </c>
      <c r="G653">
        <f t="shared" si="49"/>
        <v>-4</v>
      </c>
      <c r="AJ653" s="40">
        <v>46207</v>
      </c>
      <c r="AK653" s="9" t="s">
        <v>42</v>
      </c>
      <c r="AL653" s="9" t="s">
        <v>42</v>
      </c>
      <c r="AM653" s="9"/>
      <c r="AN653" s="9">
        <v>40</v>
      </c>
      <c r="AO653" s="9">
        <v>96</v>
      </c>
      <c r="AP653" s="9">
        <v>90</v>
      </c>
      <c r="AQ653" s="9">
        <v>94</v>
      </c>
      <c r="AR653" s="9">
        <v>0</v>
      </c>
      <c r="AS653" s="9">
        <v>20</v>
      </c>
      <c r="AT653" s="9">
        <v>19</v>
      </c>
      <c r="AU653" s="9">
        <v>0</v>
      </c>
      <c r="AV653" s="9">
        <v>0</v>
      </c>
      <c r="AW653" s="9">
        <v>0</v>
      </c>
      <c r="AX653" s="9">
        <v>1</v>
      </c>
      <c r="AY653" s="9">
        <v>0</v>
      </c>
      <c r="AZ653" s="9">
        <v>16</v>
      </c>
    </row>
    <row r="654" spans="2:52">
      <c r="B654" t="str">
        <f t="shared" si="50"/>
        <v>Jul</v>
      </c>
      <c r="C654" s="43">
        <f t="shared" si="51"/>
        <v>46215</v>
      </c>
      <c r="D654" s="44">
        <f t="shared" si="52"/>
        <v>46208</v>
      </c>
      <c r="E654" s="9" t="s">
        <v>31</v>
      </c>
      <c r="F654">
        <f t="shared" si="53"/>
        <v>0</v>
      </c>
      <c r="G654">
        <f t="shared" si="49"/>
        <v>-39</v>
      </c>
      <c r="AJ654" s="40">
        <v>46208</v>
      </c>
      <c r="AK654" s="9" t="s">
        <v>204</v>
      </c>
      <c r="AL654" s="9" t="s">
        <v>31</v>
      </c>
      <c r="AM654" s="9"/>
      <c r="AN654" s="9">
        <v>86</v>
      </c>
      <c r="AO654" s="9">
        <v>107</v>
      </c>
      <c r="AP654" s="9">
        <v>81</v>
      </c>
      <c r="AQ654" s="9">
        <v>219</v>
      </c>
      <c r="AR654" s="9">
        <v>235</v>
      </c>
      <c r="AS654" s="9">
        <v>240</v>
      </c>
      <c r="AT654" s="9">
        <v>237</v>
      </c>
      <c r="AU654" s="9">
        <v>240</v>
      </c>
      <c r="AV654" s="9">
        <v>0</v>
      </c>
      <c r="AW654" s="9">
        <v>0</v>
      </c>
      <c r="AX654" s="9">
        <v>40</v>
      </c>
      <c r="AY654" s="9">
        <v>23</v>
      </c>
      <c r="AZ654" s="9">
        <v>10</v>
      </c>
    </row>
    <row r="655" spans="2:52">
      <c r="B655" t="str">
        <f t="shared" si="50"/>
        <v>Jul</v>
      </c>
      <c r="C655" s="43">
        <f t="shared" si="51"/>
        <v>46215</v>
      </c>
      <c r="D655" s="44">
        <f t="shared" si="52"/>
        <v>46208</v>
      </c>
      <c r="E655" s="9" t="s">
        <v>39</v>
      </c>
      <c r="F655">
        <f t="shared" si="53"/>
        <v>0</v>
      </c>
      <c r="G655">
        <f t="shared" ref="G655:G718" si="54">SUM(H655:U655)+AZ655-AZ645</f>
        <v>23</v>
      </c>
      <c r="AJ655" s="40">
        <v>46208</v>
      </c>
      <c r="AK655" s="9" t="s">
        <v>205</v>
      </c>
      <c r="AL655" s="9" t="s">
        <v>39</v>
      </c>
      <c r="AM655" s="9"/>
      <c r="AN655" s="9">
        <v>56</v>
      </c>
      <c r="AO655" s="9">
        <v>46</v>
      </c>
      <c r="AP655" s="9">
        <v>57</v>
      </c>
      <c r="AQ655" s="9">
        <v>60</v>
      </c>
      <c r="AR655" s="9">
        <v>52</v>
      </c>
      <c r="AS655" s="9">
        <v>54</v>
      </c>
      <c r="AT655" s="9">
        <v>57</v>
      </c>
      <c r="AU655" s="9">
        <v>46</v>
      </c>
      <c r="AV655" s="9">
        <v>31</v>
      </c>
      <c r="AW655" s="9">
        <v>24</v>
      </c>
      <c r="AX655" s="9">
        <v>24</v>
      </c>
      <c r="AY655" s="9">
        <v>30</v>
      </c>
      <c r="AZ655" s="9">
        <v>23</v>
      </c>
    </row>
    <row r="656" spans="2:52">
      <c r="B656" t="str">
        <f t="shared" si="50"/>
        <v>Jul</v>
      </c>
      <c r="C656" s="43">
        <f t="shared" si="51"/>
        <v>46215</v>
      </c>
      <c r="D656" s="44">
        <f t="shared" si="52"/>
        <v>46208</v>
      </c>
      <c r="E656" s="9" t="s">
        <v>40</v>
      </c>
      <c r="F656">
        <f t="shared" si="53"/>
        <v>0</v>
      </c>
      <c r="G656">
        <f t="shared" si="54"/>
        <v>23</v>
      </c>
      <c r="AJ656" s="40">
        <v>46208</v>
      </c>
      <c r="AK656" s="9" t="s">
        <v>205</v>
      </c>
      <c r="AL656" s="9" t="s">
        <v>40</v>
      </c>
      <c r="AM656" s="9"/>
      <c r="AN656" s="9">
        <v>54</v>
      </c>
      <c r="AO656" s="9">
        <v>64</v>
      </c>
      <c r="AP656" s="9">
        <v>56</v>
      </c>
      <c r="AQ656" s="9">
        <v>54</v>
      </c>
      <c r="AR656" s="9">
        <v>46</v>
      </c>
      <c r="AS656" s="9">
        <v>55</v>
      </c>
      <c r="AT656" s="9">
        <v>59</v>
      </c>
      <c r="AU656" s="9">
        <v>57</v>
      </c>
      <c r="AV656" s="9">
        <v>68</v>
      </c>
      <c r="AW656" s="9">
        <v>65</v>
      </c>
      <c r="AX656" s="9">
        <v>52</v>
      </c>
      <c r="AY656" s="9">
        <v>90</v>
      </c>
      <c r="AZ656" s="9">
        <v>96</v>
      </c>
    </row>
    <row r="657" spans="2:52">
      <c r="B657" t="str">
        <f t="shared" si="50"/>
        <v>Jul</v>
      </c>
      <c r="C657" s="43">
        <f t="shared" si="51"/>
        <v>46215</v>
      </c>
      <c r="D657" s="44">
        <f t="shared" si="52"/>
        <v>46208</v>
      </c>
      <c r="E657" s="9" t="s">
        <v>41</v>
      </c>
      <c r="F657">
        <f t="shared" si="53"/>
        <v>0</v>
      </c>
      <c r="G657">
        <f t="shared" si="54"/>
        <v>-9</v>
      </c>
      <c r="AJ657" s="40">
        <v>46208</v>
      </c>
      <c r="AK657" s="9" t="s">
        <v>41</v>
      </c>
      <c r="AL657" s="9" t="s">
        <v>41</v>
      </c>
      <c r="AM657" s="9"/>
      <c r="AN657" s="9">
        <v>0</v>
      </c>
      <c r="AO657" s="9">
        <v>0</v>
      </c>
      <c r="AP657" s="9">
        <v>8</v>
      </c>
      <c r="AQ657" s="9">
        <v>11</v>
      </c>
      <c r="AR657" s="9">
        <v>0</v>
      </c>
      <c r="AS657" s="9">
        <v>1</v>
      </c>
      <c r="AT657" s="9">
        <v>37</v>
      </c>
      <c r="AU657" s="9">
        <v>41</v>
      </c>
      <c r="AV657" s="9">
        <v>24</v>
      </c>
      <c r="AW657" s="9">
        <v>0</v>
      </c>
      <c r="AX657" s="9">
        <v>0</v>
      </c>
      <c r="AY657" s="9">
        <v>11</v>
      </c>
      <c r="AZ657" s="9">
        <v>0</v>
      </c>
    </row>
    <row r="658" spans="2:52">
      <c r="B658" t="str">
        <f t="shared" si="50"/>
        <v>Jul</v>
      </c>
      <c r="C658" s="43">
        <f t="shared" si="51"/>
        <v>46215</v>
      </c>
      <c r="D658" s="44">
        <f t="shared" si="52"/>
        <v>46208</v>
      </c>
      <c r="E658" s="9" t="s">
        <v>45</v>
      </c>
      <c r="F658">
        <f t="shared" si="53"/>
        <v>0</v>
      </c>
      <c r="G658">
        <f t="shared" si="54"/>
        <v>9</v>
      </c>
      <c r="AJ658" s="40">
        <v>46208</v>
      </c>
      <c r="AK658" s="9" t="s">
        <v>202</v>
      </c>
      <c r="AL658" s="9" t="s">
        <v>45</v>
      </c>
      <c r="AM658" s="9"/>
      <c r="AN658" s="9">
        <v>0</v>
      </c>
      <c r="AO658" s="9">
        <v>22</v>
      </c>
      <c r="AP658" s="9">
        <v>15</v>
      </c>
      <c r="AQ658" s="9">
        <v>18</v>
      </c>
      <c r="AR658" s="9">
        <v>14</v>
      </c>
      <c r="AS658" s="9">
        <v>0</v>
      </c>
      <c r="AT658" s="9">
        <v>3</v>
      </c>
      <c r="AU658" s="9">
        <v>5</v>
      </c>
      <c r="AV658" s="9">
        <v>7</v>
      </c>
      <c r="AW658" s="9">
        <v>8</v>
      </c>
      <c r="AX658" s="9">
        <v>0</v>
      </c>
      <c r="AY658" s="9">
        <v>13</v>
      </c>
      <c r="AZ658" s="9">
        <v>9</v>
      </c>
    </row>
    <row r="659" spans="2:52">
      <c r="B659" t="str">
        <f t="shared" si="50"/>
        <v>Jul</v>
      </c>
      <c r="C659" s="43">
        <f t="shared" si="51"/>
        <v>46215</v>
      </c>
      <c r="D659" s="44">
        <f t="shared" si="52"/>
        <v>46208</v>
      </c>
      <c r="E659" s="9" t="s">
        <v>46</v>
      </c>
      <c r="F659">
        <f t="shared" si="53"/>
        <v>0</v>
      </c>
      <c r="G659">
        <f t="shared" si="54"/>
        <v>5</v>
      </c>
      <c r="AJ659" s="40">
        <v>46208</v>
      </c>
      <c r="AK659" s="9" t="s">
        <v>202</v>
      </c>
      <c r="AL659" s="9" t="s">
        <v>46</v>
      </c>
      <c r="AM659" s="9"/>
      <c r="AN659" s="9">
        <v>33</v>
      </c>
      <c r="AO659" s="9">
        <v>36</v>
      </c>
      <c r="AP659" s="9">
        <v>36</v>
      </c>
      <c r="AQ659" s="9">
        <v>40</v>
      </c>
      <c r="AR659" s="9">
        <v>40</v>
      </c>
      <c r="AS659" s="9">
        <v>43</v>
      </c>
      <c r="AT659" s="9">
        <v>46</v>
      </c>
      <c r="AU659" s="9">
        <v>51</v>
      </c>
      <c r="AV659" s="9">
        <v>47</v>
      </c>
      <c r="AW659" s="9">
        <v>45</v>
      </c>
      <c r="AX659" s="9">
        <v>46</v>
      </c>
      <c r="AY659" s="9">
        <v>0</v>
      </c>
      <c r="AZ659" s="9">
        <v>5</v>
      </c>
    </row>
    <row r="660" spans="2:52">
      <c r="B660" t="str">
        <f t="shared" si="50"/>
        <v>Jul</v>
      </c>
      <c r="C660" s="43">
        <f t="shared" si="51"/>
        <v>46215</v>
      </c>
      <c r="D660" s="44">
        <f t="shared" si="52"/>
        <v>46208</v>
      </c>
      <c r="E660" s="9" t="s">
        <v>47</v>
      </c>
      <c r="F660">
        <f t="shared" si="53"/>
        <v>0</v>
      </c>
      <c r="G660">
        <f t="shared" si="54"/>
        <v>-15</v>
      </c>
      <c r="AJ660" s="40">
        <v>46208</v>
      </c>
      <c r="AK660" s="9" t="s">
        <v>202</v>
      </c>
      <c r="AL660" s="9" t="s">
        <v>47</v>
      </c>
      <c r="AM660" s="9"/>
      <c r="AN660" s="9">
        <v>41</v>
      </c>
      <c r="AO660" s="9">
        <v>37</v>
      </c>
      <c r="AP660" s="9">
        <v>0</v>
      </c>
      <c r="AQ660" s="9">
        <v>0</v>
      </c>
      <c r="AR660" s="9">
        <v>7</v>
      </c>
      <c r="AS660" s="9">
        <v>9</v>
      </c>
      <c r="AT660" s="9">
        <v>13</v>
      </c>
      <c r="AU660" s="9">
        <v>0</v>
      </c>
      <c r="AV660" s="9">
        <v>7</v>
      </c>
      <c r="AW660" s="9">
        <v>9</v>
      </c>
      <c r="AX660" s="9">
        <v>13</v>
      </c>
      <c r="AY660" s="9">
        <v>13</v>
      </c>
      <c r="AZ660" s="9">
        <v>0</v>
      </c>
    </row>
    <row r="661" spans="2:52">
      <c r="B661" t="str">
        <f t="shared" si="50"/>
        <v>Jul</v>
      </c>
      <c r="C661" s="43">
        <f t="shared" si="51"/>
        <v>46215</v>
      </c>
      <c r="D661" s="44">
        <f t="shared" si="52"/>
        <v>46208</v>
      </c>
      <c r="E661" s="9" t="s">
        <v>206</v>
      </c>
      <c r="F661">
        <f t="shared" si="53"/>
        <v>0</v>
      </c>
      <c r="G661">
        <f t="shared" si="54"/>
        <v>-214</v>
      </c>
      <c r="AJ661" s="40">
        <v>46208</v>
      </c>
      <c r="AK661" s="9" t="s">
        <v>43</v>
      </c>
      <c r="AL661" s="9" t="s">
        <v>206</v>
      </c>
      <c r="AM661" s="9"/>
      <c r="AN661" s="9">
        <v>36</v>
      </c>
      <c r="AO661" s="9">
        <v>44</v>
      </c>
      <c r="AP661" s="9">
        <v>51</v>
      </c>
      <c r="AQ661" s="9">
        <v>0</v>
      </c>
      <c r="AR661" s="9">
        <v>0</v>
      </c>
      <c r="AS661" s="9">
        <v>8</v>
      </c>
      <c r="AT661" s="9">
        <v>2</v>
      </c>
      <c r="AU661" s="9">
        <v>0</v>
      </c>
      <c r="AV661" s="9">
        <v>31</v>
      </c>
      <c r="AW661" s="9">
        <v>34</v>
      </c>
      <c r="AX661" s="9">
        <v>29</v>
      </c>
      <c r="AY661" s="9">
        <v>74</v>
      </c>
      <c r="AZ661" s="9">
        <v>0</v>
      </c>
    </row>
    <row r="662" spans="2:52">
      <c r="B662" t="str">
        <f t="shared" si="50"/>
        <v>Jul</v>
      </c>
      <c r="C662" s="43">
        <f t="shared" si="51"/>
        <v>46215</v>
      </c>
      <c r="D662" s="44">
        <f t="shared" si="52"/>
        <v>46208</v>
      </c>
      <c r="E662" s="9" t="s">
        <v>207</v>
      </c>
      <c r="F662">
        <f t="shared" si="53"/>
        <v>0</v>
      </c>
      <c r="G662">
        <f t="shared" si="54"/>
        <v>-6</v>
      </c>
      <c r="AJ662" s="40">
        <v>46208</v>
      </c>
      <c r="AK662" s="9" t="s">
        <v>203</v>
      </c>
      <c r="AL662" s="9" t="s">
        <v>207</v>
      </c>
      <c r="AM662" s="9"/>
      <c r="AN662" s="9">
        <v>59</v>
      </c>
      <c r="AO662" s="9">
        <v>62</v>
      </c>
      <c r="AP662" s="9">
        <v>61</v>
      </c>
      <c r="AQ662" s="9">
        <v>61</v>
      </c>
      <c r="AR662" s="9">
        <v>32</v>
      </c>
      <c r="AS662" s="9">
        <v>30</v>
      </c>
      <c r="AT662" s="9">
        <v>25</v>
      </c>
      <c r="AU662" s="9">
        <v>29</v>
      </c>
      <c r="AV662" s="9">
        <v>33</v>
      </c>
      <c r="AW662" s="9">
        <v>32</v>
      </c>
      <c r="AX662" s="9">
        <v>0</v>
      </c>
      <c r="AY662" s="9">
        <v>11</v>
      </c>
      <c r="AZ662" s="9">
        <v>20</v>
      </c>
    </row>
    <row r="663" spans="2:52">
      <c r="B663" t="str">
        <f t="shared" si="50"/>
        <v>Jul</v>
      </c>
      <c r="C663" s="43">
        <f t="shared" si="51"/>
        <v>46215</v>
      </c>
      <c r="D663" s="44">
        <f t="shared" si="52"/>
        <v>46208</v>
      </c>
      <c r="E663" s="9" t="s">
        <v>42</v>
      </c>
      <c r="F663">
        <f t="shared" si="53"/>
        <v>0</v>
      </c>
      <c r="G663">
        <f t="shared" si="54"/>
        <v>76</v>
      </c>
      <c r="AJ663" s="40">
        <v>46208</v>
      </c>
      <c r="AK663" s="9" t="s">
        <v>42</v>
      </c>
      <c r="AL663" s="9" t="s">
        <v>42</v>
      </c>
      <c r="AM663" s="9"/>
      <c r="AN663" s="9">
        <v>44</v>
      </c>
      <c r="AO663" s="9">
        <v>71</v>
      </c>
      <c r="AP663" s="9">
        <v>28</v>
      </c>
      <c r="AQ663" s="9">
        <v>32</v>
      </c>
      <c r="AR663" s="9">
        <v>29</v>
      </c>
      <c r="AS663" s="9">
        <v>27</v>
      </c>
      <c r="AT663" s="9">
        <v>27</v>
      </c>
      <c r="AU663" s="9">
        <v>29</v>
      </c>
      <c r="AV663" s="9">
        <v>26</v>
      </c>
      <c r="AW663" s="9">
        <v>31</v>
      </c>
      <c r="AX663" s="9">
        <v>25</v>
      </c>
      <c r="AY663" s="9">
        <v>22</v>
      </c>
      <c r="AZ663" s="9">
        <v>92</v>
      </c>
    </row>
    <row r="664" spans="2:52">
      <c r="B664" t="str">
        <f t="shared" si="50"/>
        <v>Jul</v>
      </c>
      <c r="C664" s="43">
        <f t="shared" si="51"/>
        <v>46215</v>
      </c>
      <c r="D664" s="44">
        <f t="shared" si="52"/>
        <v>46209</v>
      </c>
      <c r="E664" s="9" t="s">
        <v>31</v>
      </c>
      <c r="F664">
        <f t="shared" si="53"/>
        <v>0</v>
      </c>
      <c r="G664">
        <f t="shared" si="54"/>
        <v>123</v>
      </c>
      <c r="AJ664" s="40">
        <v>46209</v>
      </c>
      <c r="AK664" s="9" t="s">
        <v>204</v>
      </c>
      <c r="AL664" s="9" t="s">
        <v>31</v>
      </c>
      <c r="AM664" s="9"/>
      <c r="AN664" s="9">
        <v>134</v>
      </c>
      <c r="AO664" s="9">
        <v>118</v>
      </c>
      <c r="AP664" s="9">
        <v>113</v>
      </c>
      <c r="AQ664" s="9">
        <v>102</v>
      </c>
      <c r="AR664" s="9">
        <v>100</v>
      </c>
      <c r="AS664" s="9">
        <v>102</v>
      </c>
      <c r="AT664" s="9">
        <v>107</v>
      </c>
      <c r="AU664" s="9">
        <v>114</v>
      </c>
      <c r="AV664" s="9">
        <v>123</v>
      </c>
      <c r="AW664" s="9">
        <v>130</v>
      </c>
      <c r="AX664" s="9">
        <v>150</v>
      </c>
      <c r="AY664" s="9">
        <v>135</v>
      </c>
      <c r="AZ664" s="9">
        <v>133</v>
      </c>
    </row>
    <row r="665" spans="2:52">
      <c r="B665" t="str">
        <f t="shared" si="50"/>
        <v>Jul</v>
      </c>
      <c r="C665" s="43">
        <f t="shared" si="51"/>
        <v>46215</v>
      </c>
      <c r="D665" s="44">
        <f t="shared" si="52"/>
        <v>46209</v>
      </c>
      <c r="E665" s="9" t="s">
        <v>39</v>
      </c>
      <c r="F665">
        <f t="shared" si="53"/>
        <v>0</v>
      </c>
      <c r="G665">
        <f t="shared" si="54"/>
        <v>37</v>
      </c>
      <c r="AJ665" s="40">
        <v>46209</v>
      </c>
      <c r="AK665" s="9" t="s">
        <v>205</v>
      </c>
      <c r="AL665" s="9" t="s">
        <v>39</v>
      </c>
      <c r="AM665" s="9"/>
      <c r="AN665" s="9">
        <v>37</v>
      </c>
      <c r="AO665" s="9">
        <v>45</v>
      </c>
      <c r="AP665" s="9">
        <v>33</v>
      </c>
      <c r="AQ665" s="9">
        <v>35</v>
      </c>
      <c r="AR665" s="9">
        <v>25</v>
      </c>
      <c r="AS665" s="9">
        <v>36</v>
      </c>
      <c r="AT665" s="9">
        <v>39</v>
      </c>
      <c r="AU665" s="9">
        <v>32</v>
      </c>
      <c r="AV665" s="9">
        <v>42</v>
      </c>
      <c r="AW665" s="9">
        <v>33</v>
      </c>
      <c r="AX665" s="9">
        <v>48</v>
      </c>
      <c r="AY665" s="9">
        <v>62</v>
      </c>
      <c r="AZ665" s="9">
        <v>60</v>
      </c>
    </row>
    <row r="666" spans="2:52">
      <c r="B666" t="str">
        <f t="shared" si="50"/>
        <v>Jul</v>
      </c>
      <c r="C666" s="43">
        <f t="shared" si="51"/>
        <v>46215</v>
      </c>
      <c r="D666" s="44">
        <f t="shared" si="52"/>
        <v>46209</v>
      </c>
      <c r="E666" s="9" t="s">
        <v>40</v>
      </c>
      <c r="F666">
        <f t="shared" si="53"/>
        <v>0</v>
      </c>
      <c r="G666">
        <f t="shared" si="54"/>
        <v>-96</v>
      </c>
      <c r="AJ666" s="40">
        <v>46209</v>
      </c>
      <c r="AK666" s="9" t="s">
        <v>205</v>
      </c>
      <c r="AL666" s="9" t="s">
        <v>40</v>
      </c>
      <c r="AM666" s="9"/>
      <c r="AN666" s="9">
        <v>133</v>
      </c>
      <c r="AO666" s="9">
        <v>136</v>
      </c>
      <c r="AP666" s="9">
        <v>133</v>
      </c>
      <c r="AQ666" s="9">
        <v>94</v>
      </c>
      <c r="AR666" s="9">
        <v>97</v>
      </c>
      <c r="AS666" s="9">
        <v>122</v>
      </c>
      <c r="AT666" s="9">
        <v>119</v>
      </c>
      <c r="AU666" s="9">
        <v>125</v>
      </c>
      <c r="AV666" s="9">
        <v>137</v>
      </c>
      <c r="AW666" s="9">
        <v>203</v>
      </c>
      <c r="AX666" s="9">
        <v>210</v>
      </c>
      <c r="AY666" s="9">
        <v>214</v>
      </c>
      <c r="AZ666" s="9">
        <v>0</v>
      </c>
    </row>
    <row r="667" spans="2:52">
      <c r="B667" t="str">
        <f t="shared" si="50"/>
        <v>Jul</v>
      </c>
      <c r="C667" s="43">
        <f t="shared" si="51"/>
        <v>46215</v>
      </c>
      <c r="D667" s="44">
        <f t="shared" si="52"/>
        <v>46209</v>
      </c>
      <c r="E667" s="9" t="s">
        <v>41</v>
      </c>
      <c r="F667">
        <f t="shared" si="53"/>
        <v>0</v>
      </c>
      <c r="G667">
        <f t="shared" si="54"/>
        <v>0</v>
      </c>
      <c r="AJ667" s="40">
        <v>46209</v>
      </c>
      <c r="AK667" s="9" t="s">
        <v>41</v>
      </c>
      <c r="AL667" s="9" t="s">
        <v>41</v>
      </c>
      <c r="AM667" s="9"/>
      <c r="AN667" s="9">
        <v>25</v>
      </c>
      <c r="AO667" s="9">
        <v>23</v>
      </c>
      <c r="AP667" s="9">
        <v>28</v>
      </c>
      <c r="AQ667" s="9">
        <v>30</v>
      </c>
      <c r="AR667" s="9">
        <v>84</v>
      </c>
      <c r="AS667" s="9">
        <v>87</v>
      </c>
      <c r="AT667" s="9">
        <v>84</v>
      </c>
      <c r="AU667" s="9">
        <v>83</v>
      </c>
      <c r="AV667" s="9">
        <v>0</v>
      </c>
      <c r="AW667" s="9">
        <v>1</v>
      </c>
      <c r="AX667" s="9">
        <v>5</v>
      </c>
      <c r="AY667" s="9">
        <v>8</v>
      </c>
      <c r="AZ667" s="9">
        <v>0</v>
      </c>
    </row>
    <row r="668" spans="2:52">
      <c r="B668" t="str">
        <f t="shared" si="50"/>
        <v>Jul</v>
      </c>
      <c r="C668" s="43">
        <f t="shared" si="51"/>
        <v>46215</v>
      </c>
      <c r="D668" s="44">
        <f t="shared" si="52"/>
        <v>46209</v>
      </c>
      <c r="E668" s="9" t="s">
        <v>45</v>
      </c>
      <c r="F668">
        <f t="shared" si="53"/>
        <v>0</v>
      </c>
      <c r="G668">
        <f t="shared" si="54"/>
        <v>148</v>
      </c>
      <c r="AJ668" s="40">
        <v>46209</v>
      </c>
      <c r="AK668" s="9" t="s">
        <v>202</v>
      </c>
      <c r="AL668" s="9" t="s">
        <v>45</v>
      </c>
      <c r="AM668" s="9"/>
      <c r="AN668" s="9">
        <v>28</v>
      </c>
      <c r="AO668" s="9">
        <v>22</v>
      </c>
      <c r="AP668" s="9">
        <v>17</v>
      </c>
      <c r="AQ668" s="9">
        <v>0</v>
      </c>
      <c r="AR668" s="9">
        <v>1</v>
      </c>
      <c r="AS668" s="9">
        <v>0</v>
      </c>
      <c r="AT668" s="9">
        <v>126</v>
      </c>
      <c r="AU668" s="9">
        <v>124</v>
      </c>
      <c r="AV668" s="9">
        <v>132</v>
      </c>
      <c r="AW668" s="9">
        <v>139</v>
      </c>
      <c r="AX668" s="9">
        <v>133</v>
      </c>
      <c r="AY668" s="9">
        <v>137</v>
      </c>
      <c r="AZ668" s="9">
        <v>157</v>
      </c>
    </row>
    <row r="669" spans="2:52">
      <c r="B669" t="str">
        <f t="shared" si="50"/>
        <v>Jul</v>
      </c>
      <c r="C669" s="43">
        <f t="shared" si="51"/>
        <v>46215</v>
      </c>
      <c r="D669" s="44">
        <f t="shared" si="52"/>
        <v>46209</v>
      </c>
      <c r="E669" s="9" t="s">
        <v>46</v>
      </c>
      <c r="F669">
        <f t="shared" si="53"/>
        <v>0</v>
      </c>
      <c r="G669">
        <f t="shared" si="54"/>
        <v>-5</v>
      </c>
      <c r="AJ669" s="40">
        <v>46209</v>
      </c>
      <c r="AK669" s="9" t="s">
        <v>202</v>
      </c>
      <c r="AL669" s="9" t="s">
        <v>46</v>
      </c>
      <c r="AM669" s="9"/>
      <c r="AN669" s="9">
        <v>14</v>
      </c>
      <c r="AO669" s="9">
        <v>55</v>
      </c>
      <c r="AP669" s="9">
        <v>51</v>
      </c>
      <c r="AQ669" s="9">
        <v>54</v>
      </c>
      <c r="AR669" s="9">
        <v>59</v>
      </c>
      <c r="AS669" s="9">
        <v>57</v>
      </c>
      <c r="AT669" s="9">
        <v>59</v>
      </c>
      <c r="AU669" s="9">
        <v>57</v>
      </c>
      <c r="AV669" s="9">
        <v>57</v>
      </c>
      <c r="AW669" s="9">
        <v>58</v>
      </c>
      <c r="AX669" s="9">
        <v>60</v>
      </c>
      <c r="AY669" s="9">
        <v>63</v>
      </c>
      <c r="AZ669" s="9">
        <v>0</v>
      </c>
    </row>
    <row r="670" spans="2:52">
      <c r="B670" t="str">
        <f t="shared" si="50"/>
        <v>Jul</v>
      </c>
      <c r="C670" s="43">
        <f t="shared" si="51"/>
        <v>46215</v>
      </c>
      <c r="D670" s="44">
        <f t="shared" si="52"/>
        <v>46209</v>
      </c>
      <c r="E670" s="9" t="s">
        <v>47</v>
      </c>
      <c r="F670">
        <f t="shared" si="53"/>
        <v>0</v>
      </c>
      <c r="G670">
        <f t="shared" si="54"/>
        <v>38</v>
      </c>
      <c r="AJ670" s="40">
        <v>46209</v>
      </c>
      <c r="AK670" s="9" t="s">
        <v>202</v>
      </c>
      <c r="AL670" s="9" t="s">
        <v>47</v>
      </c>
      <c r="AM670" s="9"/>
      <c r="AN670" s="9">
        <v>0</v>
      </c>
      <c r="AO670" s="9">
        <v>13</v>
      </c>
      <c r="AP670" s="9">
        <v>0</v>
      </c>
      <c r="AQ670" s="9">
        <v>0</v>
      </c>
      <c r="AR670" s="9">
        <v>0</v>
      </c>
      <c r="AS670" s="9">
        <v>13</v>
      </c>
      <c r="AT670" s="9">
        <v>14</v>
      </c>
      <c r="AU670" s="9">
        <v>0</v>
      </c>
      <c r="AV670" s="9">
        <v>0</v>
      </c>
      <c r="AW670" s="9">
        <v>0</v>
      </c>
      <c r="AX670" s="9">
        <v>41</v>
      </c>
      <c r="AY670" s="9">
        <v>37</v>
      </c>
      <c r="AZ670" s="9">
        <v>38</v>
      </c>
    </row>
    <row r="671" spans="2:52">
      <c r="B671" t="str">
        <f t="shared" si="50"/>
        <v>Jul</v>
      </c>
      <c r="C671" s="43">
        <f t="shared" si="51"/>
        <v>46215</v>
      </c>
      <c r="D671" s="44">
        <f t="shared" si="52"/>
        <v>46209</v>
      </c>
      <c r="E671" s="9" t="s">
        <v>206</v>
      </c>
      <c r="F671">
        <f t="shared" si="53"/>
        <v>0</v>
      </c>
      <c r="G671">
        <f t="shared" si="54"/>
        <v>8</v>
      </c>
      <c r="AJ671" s="40">
        <v>46209</v>
      </c>
      <c r="AK671" s="9" t="s">
        <v>43</v>
      </c>
      <c r="AL671" s="9" t="s">
        <v>206</v>
      </c>
      <c r="AM671" s="9"/>
      <c r="AN671" s="9">
        <v>0</v>
      </c>
      <c r="AO671" s="9">
        <v>1</v>
      </c>
      <c r="AP671" s="9">
        <v>7</v>
      </c>
      <c r="AQ671" s="9">
        <v>9</v>
      </c>
      <c r="AR671" s="9">
        <v>46</v>
      </c>
      <c r="AS671" s="9">
        <v>50</v>
      </c>
      <c r="AT671" s="9">
        <v>46</v>
      </c>
      <c r="AU671" s="9">
        <v>0</v>
      </c>
      <c r="AV671" s="9">
        <v>0</v>
      </c>
      <c r="AW671" s="9">
        <v>34</v>
      </c>
      <c r="AX671" s="9">
        <v>0</v>
      </c>
      <c r="AY671" s="9">
        <v>7</v>
      </c>
      <c r="AZ671" s="9">
        <v>8</v>
      </c>
    </row>
    <row r="672" spans="2:52">
      <c r="B672" t="str">
        <f t="shared" si="50"/>
        <v>Jul</v>
      </c>
      <c r="C672" s="43">
        <f t="shared" si="51"/>
        <v>46215</v>
      </c>
      <c r="D672" s="44">
        <f t="shared" si="52"/>
        <v>46209</v>
      </c>
      <c r="E672" s="9" t="s">
        <v>207</v>
      </c>
      <c r="F672">
        <f t="shared" si="53"/>
        <v>0</v>
      </c>
      <c r="G672">
        <f t="shared" si="54"/>
        <v>1</v>
      </c>
      <c r="AJ672" s="40">
        <v>46209</v>
      </c>
      <c r="AK672" s="9" t="s">
        <v>203</v>
      </c>
      <c r="AL672" s="9" t="s">
        <v>207</v>
      </c>
      <c r="AM672" s="9"/>
      <c r="AN672" s="9">
        <v>48</v>
      </c>
      <c r="AO672" s="9">
        <v>48</v>
      </c>
      <c r="AP672" s="9">
        <v>55</v>
      </c>
      <c r="AQ672" s="9">
        <v>64</v>
      </c>
      <c r="AR672" s="9">
        <v>62</v>
      </c>
      <c r="AS672" s="9">
        <v>123</v>
      </c>
      <c r="AT672" s="9">
        <v>122</v>
      </c>
      <c r="AU672" s="9">
        <v>130</v>
      </c>
      <c r="AV672" s="9">
        <v>100</v>
      </c>
      <c r="AW672" s="9">
        <v>95</v>
      </c>
      <c r="AX672" s="9">
        <v>0</v>
      </c>
      <c r="AY672" s="9">
        <v>0</v>
      </c>
      <c r="AZ672" s="9">
        <v>21</v>
      </c>
    </row>
    <row r="673" spans="2:52">
      <c r="B673" t="str">
        <f t="shared" si="50"/>
        <v>Jul</v>
      </c>
      <c r="C673" s="43">
        <f t="shared" si="51"/>
        <v>46215</v>
      </c>
      <c r="D673" s="44">
        <f t="shared" si="52"/>
        <v>46209</v>
      </c>
      <c r="E673" s="9" t="s">
        <v>42</v>
      </c>
      <c r="F673">
        <f t="shared" si="53"/>
        <v>0</v>
      </c>
      <c r="G673">
        <f t="shared" si="54"/>
        <v>-35</v>
      </c>
      <c r="AJ673" s="40">
        <v>46209</v>
      </c>
      <c r="AK673" s="9" t="s">
        <v>42</v>
      </c>
      <c r="AL673" s="9" t="s">
        <v>42</v>
      </c>
      <c r="AM673" s="9"/>
      <c r="AN673" s="9">
        <v>22</v>
      </c>
      <c r="AO673" s="9">
        <v>63</v>
      </c>
      <c r="AP673" s="9">
        <v>88</v>
      </c>
      <c r="AQ673" s="9">
        <v>166</v>
      </c>
      <c r="AR673" s="9">
        <v>0</v>
      </c>
      <c r="AS673" s="9">
        <v>9</v>
      </c>
      <c r="AT673" s="9">
        <v>7</v>
      </c>
      <c r="AU673" s="9">
        <v>8</v>
      </c>
      <c r="AV673" s="9">
        <v>59</v>
      </c>
      <c r="AW673" s="9">
        <v>58</v>
      </c>
      <c r="AX673" s="9">
        <v>57</v>
      </c>
      <c r="AY673" s="9">
        <v>61</v>
      </c>
      <c r="AZ673" s="9">
        <v>57</v>
      </c>
    </row>
    <row r="674" spans="2:52">
      <c r="B674" t="str">
        <f t="shared" si="50"/>
        <v>Jul</v>
      </c>
      <c r="C674" s="43">
        <f t="shared" si="51"/>
        <v>46215</v>
      </c>
      <c r="D674" s="44">
        <f t="shared" si="52"/>
        <v>46210</v>
      </c>
      <c r="E674" s="9" t="s">
        <v>31</v>
      </c>
      <c r="F674">
        <f t="shared" si="53"/>
        <v>0</v>
      </c>
      <c r="G674">
        <f t="shared" si="54"/>
        <v>-43</v>
      </c>
      <c r="AJ674" s="40">
        <v>46210</v>
      </c>
      <c r="AK674" s="9" t="s">
        <v>204</v>
      </c>
      <c r="AL674" s="9" t="s">
        <v>31</v>
      </c>
      <c r="AM674" s="9"/>
      <c r="AN674" s="9">
        <v>66</v>
      </c>
      <c r="AO674" s="9">
        <v>0</v>
      </c>
      <c r="AP674" s="9">
        <v>0</v>
      </c>
      <c r="AQ674" s="9">
        <v>51</v>
      </c>
      <c r="AR674" s="9">
        <v>0</v>
      </c>
      <c r="AS674" s="9">
        <v>2</v>
      </c>
      <c r="AT674" s="9">
        <v>51</v>
      </c>
      <c r="AU674" s="9">
        <v>63</v>
      </c>
      <c r="AV674" s="9">
        <v>64</v>
      </c>
      <c r="AW674" s="9">
        <v>57</v>
      </c>
      <c r="AX674" s="9">
        <v>59</v>
      </c>
      <c r="AY674" s="9">
        <v>72</v>
      </c>
      <c r="AZ674" s="9">
        <v>90</v>
      </c>
    </row>
    <row r="675" spans="2:52">
      <c r="B675" t="str">
        <f t="shared" si="50"/>
        <v>Jul</v>
      </c>
      <c r="C675" s="43">
        <f t="shared" si="51"/>
        <v>46215</v>
      </c>
      <c r="D675" s="44">
        <f t="shared" si="52"/>
        <v>46210</v>
      </c>
      <c r="E675" s="9" t="s">
        <v>39</v>
      </c>
      <c r="F675">
        <f t="shared" si="53"/>
        <v>0</v>
      </c>
      <c r="G675">
        <f t="shared" si="54"/>
        <v>41</v>
      </c>
      <c r="AJ675" s="40">
        <v>46210</v>
      </c>
      <c r="AK675" s="9" t="s">
        <v>205</v>
      </c>
      <c r="AL675" s="9" t="s">
        <v>39</v>
      </c>
      <c r="AM675" s="9"/>
      <c r="AN675" s="9">
        <v>86</v>
      </c>
      <c r="AO675" s="9">
        <v>75</v>
      </c>
      <c r="AP675" s="9">
        <v>60</v>
      </c>
      <c r="AQ675" s="9">
        <v>53</v>
      </c>
      <c r="AR675" s="9">
        <v>42</v>
      </c>
      <c r="AS675" s="9">
        <v>36</v>
      </c>
      <c r="AT675" s="9">
        <v>42</v>
      </c>
      <c r="AU675" s="9">
        <v>43</v>
      </c>
      <c r="AV675" s="9">
        <v>41</v>
      </c>
      <c r="AW675" s="9">
        <v>92</v>
      </c>
      <c r="AX675" s="9">
        <v>103</v>
      </c>
      <c r="AY675" s="9">
        <v>114</v>
      </c>
      <c r="AZ675" s="9">
        <v>101</v>
      </c>
    </row>
    <row r="676" spans="2:52">
      <c r="B676" t="str">
        <f t="shared" si="50"/>
        <v>Jul</v>
      </c>
      <c r="C676" s="43">
        <f t="shared" si="51"/>
        <v>46215</v>
      </c>
      <c r="D676" s="44">
        <f t="shared" si="52"/>
        <v>46210</v>
      </c>
      <c r="E676" s="9" t="s">
        <v>40</v>
      </c>
      <c r="F676">
        <f t="shared" si="53"/>
        <v>0</v>
      </c>
      <c r="G676">
        <f t="shared" si="54"/>
        <v>64</v>
      </c>
      <c r="AJ676" s="40">
        <v>46210</v>
      </c>
      <c r="AK676" s="9" t="s">
        <v>205</v>
      </c>
      <c r="AL676" s="9" t="s">
        <v>40</v>
      </c>
      <c r="AM676" s="9"/>
      <c r="AN676" s="9">
        <v>74</v>
      </c>
      <c r="AO676" s="9">
        <v>85</v>
      </c>
      <c r="AP676" s="9">
        <v>79</v>
      </c>
      <c r="AQ676" s="9">
        <v>45</v>
      </c>
      <c r="AR676" s="9">
        <v>0</v>
      </c>
      <c r="AS676" s="9">
        <v>31</v>
      </c>
      <c r="AT676" s="9">
        <v>24</v>
      </c>
      <c r="AU676" s="9">
        <v>31</v>
      </c>
      <c r="AV676" s="9">
        <v>35</v>
      </c>
      <c r="AW676" s="9">
        <v>37</v>
      </c>
      <c r="AX676" s="9">
        <v>45</v>
      </c>
      <c r="AY676" s="9">
        <v>57</v>
      </c>
      <c r="AZ676" s="9">
        <v>64</v>
      </c>
    </row>
    <row r="677" spans="2:52">
      <c r="B677" t="str">
        <f t="shared" si="50"/>
        <v>Jul</v>
      </c>
      <c r="C677" s="43">
        <f t="shared" si="51"/>
        <v>46215</v>
      </c>
      <c r="D677" s="44">
        <f t="shared" si="52"/>
        <v>46210</v>
      </c>
      <c r="E677" s="9" t="s">
        <v>41</v>
      </c>
      <c r="F677">
        <f t="shared" si="53"/>
        <v>0</v>
      </c>
      <c r="G677">
        <f t="shared" si="54"/>
        <v>4</v>
      </c>
      <c r="AJ677" s="40">
        <v>46210</v>
      </c>
      <c r="AK677" s="9" t="s">
        <v>41</v>
      </c>
      <c r="AL677" s="9" t="s">
        <v>41</v>
      </c>
      <c r="AM677" s="9"/>
      <c r="AN677" s="9">
        <v>27</v>
      </c>
      <c r="AO677" s="9">
        <v>30</v>
      </c>
      <c r="AP677" s="9">
        <v>27</v>
      </c>
      <c r="AQ677" s="9">
        <v>0</v>
      </c>
      <c r="AR677" s="9">
        <v>1</v>
      </c>
      <c r="AS677" s="9">
        <v>0</v>
      </c>
      <c r="AT677" s="9">
        <v>0</v>
      </c>
      <c r="AU677" s="9">
        <v>5</v>
      </c>
      <c r="AV677" s="9">
        <v>2</v>
      </c>
      <c r="AW677" s="9">
        <v>3</v>
      </c>
      <c r="AX677" s="9">
        <v>0</v>
      </c>
      <c r="AY677" s="9">
        <v>3</v>
      </c>
      <c r="AZ677" s="9">
        <v>4</v>
      </c>
    </row>
    <row r="678" spans="2:52">
      <c r="B678" t="str">
        <f t="shared" si="50"/>
        <v>Jul</v>
      </c>
      <c r="C678" s="43">
        <f t="shared" si="51"/>
        <v>46215</v>
      </c>
      <c r="D678" s="44">
        <f t="shared" si="52"/>
        <v>46210</v>
      </c>
      <c r="E678" s="9" t="s">
        <v>45</v>
      </c>
      <c r="F678">
        <f t="shared" si="53"/>
        <v>0</v>
      </c>
      <c r="G678">
        <f t="shared" si="54"/>
        <v>-147</v>
      </c>
      <c r="AJ678" s="40">
        <v>46210</v>
      </c>
      <c r="AK678" s="9" t="s">
        <v>202</v>
      </c>
      <c r="AL678" s="9" t="s">
        <v>45</v>
      </c>
      <c r="AM678" s="9"/>
      <c r="AN678" s="9">
        <v>46</v>
      </c>
      <c r="AO678" s="9">
        <v>0</v>
      </c>
      <c r="AP678" s="9">
        <v>6</v>
      </c>
      <c r="AQ678" s="9">
        <v>0</v>
      </c>
      <c r="AR678" s="9">
        <v>8</v>
      </c>
      <c r="AS678" s="9">
        <v>0</v>
      </c>
      <c r="AT678" s="9">
        <v>30</v>
      </c>
      <c r="AU678" s="9">
        <v>37</v>
      </c>
      <c r="AV678" s="9">
        <v>0</v>
      </c>
      <c r="AW678" s="9">
        <v>23</v>
      </c>
      <c r="AX678" s="9">
        <v>19</v>
      </c>
      <c r="AY678" s="9">
        <v>13</v>
      </c>
      <c r="AZ678" s="9">
        <v>10</v>
      </c>
    </row>
    <row r="679" spans="2:52">
      <c r="B679" t="str">
        <f t="shared" si="50"/>
        <v>Jul</v>
      </c>
      <c r="C679" s="43">
        <f t="shared" si="51"/>
        <v>46215</v>
      </c>
      <c r="D679" s="44">
        <f t="shared" si="52"/>
        <v>46210</v>
      </c>
      <c r="E679" s="9" t="s">
        <v>46</v>
      </c>
      <c r="F679">
        <f t="shared" si="53"/>
        <v>0</v>
      </c>
      <c r="G679">
        <f t="shared" si="54"/>
        <v>41</v>
      </c>
      <c r="AJ679" s="40">
        <v>46210</v>
      </c>
      <c r="AK679" s="9" t="s">
        <v>202</v>
      </c>
      <c r="AL679" s="9" t="s">
        <v>46</v>
      </c>
      <c r="AM679" s="9"/>
      <c r="AN679" s="9">
        <v>14</v>
      </c>
      <c r="AO679" s="9">
        <v>0</v>
      </c>
      <c r="AP679" s="9">
        <v>1</v>
      </c>
      <c r="AQ679" s="9">
        <v>0</v>
      </c>
      <c r="AR679" s="9">
        <v>2</v>
      </c>
      <c r="AS679" s="9">
        <v>6</v>
      </c>
      <c r="AT679" s="9">
        <v>9</v>
      </c>
      <c r="AU679" s="9">
        <v>6</v>
      </c>
      <c r="AV679" s="9">
        <v>4</v>
      </c>
      <c r="AW679" s="9">
        <v>3</v>
      </c>
      <c r="AX679" s="9">
        <v>1</v>
      </c>
      <c r="AY679" s="9">
        <v>40</v>
      </c>
      <c r="AZ679" s="9">
        <v>41</v>
      </c>
    </row>
    <row r="680" spans="2:52">
      <c r="B680" t="str">
        <f t="shared" si="50"/>
        <v>Jul</v>
      </c>
      <c r="C680" s="43">
        <f t="shared" si="51"/>
        <v>46215</v>
      </c>
      <c r="D680" s="44">
        <f t="shared" si="52"/>
        <v>46210</v>
      </c>
      <c r="E680" s="9" t="s">
        <v>47</v>
      </c>
      <c r="F680">
        <f t="shared" si="53"/>
        <v>0</v>
      </c>
      <c r="G680">
        <f t="shared" si="54"/>
        <v>-9</v>
      </c>
      <c r="AJ680" s="40">
        <v>46210</v>
      </c>
      <c r="AK680" s="9" t="s">
        <v>202</v>
      </c>
      <c r="AL680" s="9" t="s">
        <v>47</v>
      </c>
      <c r="AM680" s="9"/>
      <c r="AN680" s="9">
        <v>32</v>
      </c>
      <c r="AO680" s="9">
        <v>29</v>
      </c>
      <c r="AP680" s="9">
        <v>26</v>
      </c>
      <c r="AQ680" s="9">
        <v>25</v>
      </c>
      <c r="AR680" s="9">
        <v>28</v>
      </c>
      <c r="AS680" s="9">
        <v>29</v>
      </c>
      <c r="AT680" s="9">
        <v>27</v>
      </c>
      <c r="AU680" s="9">
        <v>27</v>
      </c>
      <c r="AV680" s="9">
        <v>29</v>
      </c>
      <c r="AW680" s="9">
        <v>69</v>
      </c>
      <c r="AX680" s="9">
        <v>72</v>
      </c>
      <c r="AY680" s="9">
        <v>54</v>
      </c>
      <c r="AZ680" s="9">
        <v>29</v>
      </c>
    </row>
    <row r="681" spans="2:52">
      <c r="B681" t="str">
        <f t="shared" si="50"/>
        <v>Jul</v>
      </c>
      <c r="C681" s="43">
        <f t="shared" si="51"/>
        <v>46215</v>
      </c>
      <c r="D681" s="44">
        <f t="shared" si="52"/>
        <v>46210</v>
      </c>
      <c r="E681" s="9" t="s">
        <v>206</v>
      </c>
      <c r="F681">
        <f t="shared" si="53"/>
        <v>0</v>
      </c>
      <c r="G681">
        <f t="shared" si="54"/>
        <v>106</v>
      </c>
      <c r="AJ681" s="40">
        <v>46210</v>
      </c>
      <c r="AK681" s="9" t="s">
        <v>43</v>
      </c>
      <c r="AL681" s="9" t="s">
        <v>206</v>
      </c>
      <c r="AM681" s="9"/>
      <c r="AN681" s="9">
        <v>0</v>
      </c>
      <c r="AO681" s="9">
        <v>19</v>
      </c>
      <c r="AP681" s="9">
        <v>18</v>
      </c>
      <c r="AQ681" s="9">
        <v>14</v>
      </c>
      <c r="AR681" s="9">
        <v>19</v>
      </c>
      <c r="AS681" s="9">
        <v>0</v>
      </c>
      <c r="AT681" s="9">
        <v>19</v>
      </c>
      <c r="AU681" s="9">
        <v>14</v>
      </c>
      <c r="AV681" s="9">
        <v>21</v>
      </c>
      <c r="AW681" s="9">
        <v>27</v>
      </c>
      <c r="AX681" s="9">
        <v>23</v>
      </c>
      <c r="AY681" s="9">
        <v>118</v>
      </c>
      <c r="AZ681" s="9">
        <v>114</v>
      </c>
    </row>
    <row r="682" spans="2:52">
      <c r="B682" t="str">
        <f t="shared" si="50"/>
        <v>Jul</v>
      </c>
      <c r="C682" s="43">
        <f t="shared" si="51"/>
        <v>46215</v>
      </c>
      <c r="D682" s="44">
        <f t="shared" si="52"/>
        <v>46210</v>
      </c>
      <c r="E682" s="9" t="s">
        <v>207</v>
      </c>
      <c r="F682">
        <f t="shared" si="53"/>
        <v>0</v>
      </c>
      <c r="G682">
        <f t="shared" si="54"/>
        <v>23</v>
      </c>
      <c r="AJ682" s="40">
        <v>46210</v>
      </c>
      <c r="AK682" s="9" t="s">
        <v>203</v>
      </c>
      <c r="AL682" s="9" t="s">
        <v>207</v>
      </c>
      <c r="AM682" s="9"/>
      <c r="AN682" s="9">
        <v>56</v>
      </c>
      <c r="AO682" s="9">
        <v>57</v>
      </c>
      <c r="AP682" s="9">
        <v>61</v>
      </c>
      <c r="AQ682" s="9">
        <v>94</v>
      </c>
      <c r="AR682" s="9">
        <v>96</v>
      </c>
      <c r="AS682" s="9">
        <v>93</v>
      </c>
      <c r="AT682" s="9">
        <v>101</v>
      </c>
      <c r="AU682" s="9">
        <v>96</v>
      </c>
      <c r="AV682" s="9">
        <v>82</v>
      </c>
      <c r="AW682" s="9">
        <v>76</v>
      </c>
      <c r="AX682" s="9">
        <v>82</v>
      </c>
      <c r="AY682" s="9">
        <v>52</v>
      </c>
      <c r="AZ682" s="9">
        <v>44</v>
      </c>
    </row>
    <row r="683" spans="2:52">
      <c r="B683" t="str">
        <f t="shared" si="50"/>
        <v>Jul</v>
      </c>
      <c r="C683" s="43">
        <f t="shared" si="51"/>
        <v>46215</v>
      </c>
      <c r="D683" s="44">
        <f t="shared" si="52"/>
        <v>46210</v>
      </c>
      <c r="E683" s="9" t="s">
        <v>42</v>
      </c>
      <c r="F683">
        <f t="shared" si="53"/>
        <v>0</v>
      </c>
      <c r="G683">
        <f t="shared" si="54"/>
        <v>-50</v>
      </c>
      <c r="AJ683" s="40">
        <v>46210</v>
      </c>
      <c r="AK683" s="9" t="s">
        <v>42</v>
      </c>
      <c r="AL683" s="9" t="s">
        <v>42</v>
      </c>
      <c r="AM683" s="9"/>
      <c r="AN683" s="9">
        <v>56</v>
      </c>
      <c r="AO683" s="9">
        <v>93</v>
      </c>
      <c r="AP683" s="9">
        <v>94</v>
      </c>
      <c r="AQ683" s="9">
        <v>138</v>
      </c>
      <c r="AR683" s="9">
        <v>143</v>
      </c>
      <c r="AS683" s="9">
        <v>139</v>
      </c>
      <c r="AT683" s="9">
        <v>143</v>
      </c>
      <c r="AU683" s="9">
        <v>145</v>
      </c>
      <c r="AV683" s="9">
        <v>149</v>
      </c>
      <c r="AW683" s="9">
        <v>0</v>
      </c>
      <c r="AX683" s="9">
        <v>0</v>
      </c>
      <c r="AY683" s="9">
        <v>3</v>
      </c>
      <c r="AZ683" s="9">
        <v>7</v>
      </c>
    </row>
    <row r="684" spans="2:52">
      <c r="B684" t="str">
        <f t="shared" si="50"/>
        <v>Jul</v>
      </c>
      <c r="C684" s="43">
        <f t="shared" si="51"/>
        <v>46215</v>
      </c>
      <c r="D684" s="44">
        <f t="shared" si="52"/>
        <v>46211</v>
      </c>
      <c r="E684" s="9" t="s">
        <v>31</v>
      </c>
      <c r="F684">
        <f t="shared" si="53"/>
        <v>0</v>
      </c>
      <c r="G684">
        <f t="shared" si="54"/>
        <v>-82</v>
      </c>
      <c r="AJ684" s="40">
        <v>46211</v>
      </c>
      <c r="AK684" s="9" t="s">
        <v>204</v>
      </c>
      <c r="AL684" s="9" t="s">
        <v>31</v>
      </c>
      <c r="AM684" s="9"/>
      <c r="AN684" s="9">
        <v>0</v>
      </c>
      <c r="AO684" s="9">
        <v>55</v>
      </c>
      <c r="AP684" s="9">
        <v>41</v>
      </c>
      <c r="AQ684" s="9">
        <v>60</v>
      </c>
      <c r="AR684" s="9">
        <v>53</v>
      </c>
      <c r="AS684" s="9">
        <v>37</v>
      </c>
      <c r="AT684" s="9">
        <v>32</v>
      </c>
      <c r="AU684" s="9">
        <v>21</v>
      </c>
      <c r="AV684" s="9">
        <v>3</v>
      </c>
      <c r="AW684" s="9">
        <v>16</v>
      </c>
      <c r="AX684" s="9">
        <v>80</v>
      </c>
      <c r="AY684" s="9">
        <v>57</v>
      </c>
      <c r="AZ684" s="9">
        <v>8</v>
      </c>
    </row>
    <row r="685" spans="2:52">
      <c r="B685" t="str">
        <f t="shared" si="50"/>
        <v>Jul</v>
      </c>
      <c r="C685" s="43">
        <f t="shared" si="51"/>
        <v>46215</v>
      </c>
      <c r="D685" s="44">
        <f t="shared" si="52"/>
        <v>46211</v>
      </c>
      <c r="E685" s="9" t="s">
        <v>39</v>
      </c>
      <c r="F685">
        <f t="shared" si="53"/>
        <v>0</v>
      </c>
      <c r="G685">
        <f t="shared" si="54"/>
        <v>139</v>
      </c>
      <c r="AJ685" s="40">
        <v>46211</v>
      </c>
      <c r="AK685" s="9" t="s">
        <v>205</v>
      </c>
      <c r="AL685" s="9" t="s">
        <v>39</v>
      </c>
      <c r="AM685" s="9"/>
      <c r="AN685" s="9">
        <v>73</v>
      </c>
      <c r="AO685" s="9">
        <v>59</v>
      </c>
      <c r="AP685" s="9">
        <v>0</v>
      </c>
      <c r="AQ685" s="9">
        <v>0</v>
      </c>
      <c r="AR685" s="9">
        <v>0</v>
      </c>
      <c r="AS685" s="9">
        <v>3</v>
      </c>
      <c r="AT685" s="9">
        <v>7</v>
      </c>
      <c r="AU685" s="9">
        <v>16</v>
      </c>
      <c r="AV685" s="9">
        <v>26</v>
      </c>
      <c r="AW685" s="9">
        <v>190</v>
      </c>
      <c r="AX685" s="9">
        <v>240</v>
      </c>
      <c r="AY685" s="9">
        <v>240</v>
      </c>
      <c r="AZ685" s="9">
        <v>240</v>
      </c>
    </row>
    <row r="686" spans="2:52">
      <c r="B686" t="str">
        <f t="shared" si="50"/>
        <v>Jul</v>
      </c>
      <c r="C686" s="43">
        <f t="shared" si="51"/>
        <v>46215</v>
      </c>
      <c r="D686" s="44">
        <f t="shared" si="52"/>
        <v>46211</v>
      </c>
      <c r="E686" s="9" t="s">
        <v>40</v>
      </c>
      <c r="F686">
        <f t="shared" si="53"/>
        <v>0</v>
      </c>
      <c r="G686">
        <f t="shared" si="54"/>
        <v>-59</v>
      </c>
      <c r="AJ686" s="40">
        <v>46211</v>
      </c>
      <c r="AK686" s="9" t="s">
        <v>205</v>
      </c>
      <c r="AL686" s="9" t="s">
        <v>40</v>
      </c>
      <c r="AM686" s="9"/>
      <c r="AN686" s="9">
        <v>48</v>
      </c>
      <c r="AO686" s="9">
        <v>14</v>
      </c>
      <c r="AP686" s="9">
        <v>5</v>
      </c>
      <c r="AQ686" s="9">
        <v>8</v>
      </c>
      <c r="AR686" s="9">
        <v>0</v>
      </c>
      <c r="AS686" s="9">
        <v>0</v>
      </c>
      <c r="AT686" s="9">
        <v>0</v>
      </c>
      <c r="AU686" s="9">
        <v>10</v>
      </c>
      <c r="AV686" s="9">
        <v>1</v>
      </c>
      <c r="AW686" s="9">
        <v>2</v>
      </c>
      <c r="AX686" s="9">
        <v>0</v>
      </c>
      <c r="AY686" s="9">
        <v>6</v>
      </c>
      <c r="AZ686" s="9">
        <v>5</v>
      </c>
    </row>
    <row r="687" spans="2:52">
      <c r="B687" t="str">
        <f t="shared" si="50"/>
        <v>Jul</v>
      </c>
      <c r="C687" s="43">
        <f t="shared" si="51"/>
        <v>46215</v>
      </c>
      <c r="D687" s="44">
        <f t="shared" si="52"/>
        <v>46211</v>
      </c>
      <c r="E687" s="9" t="s">
        <v>41</v>
      </c>
      <c r="F687">
        <f t="shared" si="53"/>
        <v>0</v>
      </c>
      <c r="G687">
        <f t="shared" si="54"/>
        <v>-4</v>
      </c>
      <c r="AJ687" s="40">
        <v>46211</v>
      </c>
      <c r="AK687" s="9" t="s">
        <v>41</v>
      </c>
      <c r="AL687" s="9" t="s">
        <v>41</v>
      </c>
      <c r="AM687" s="9"/>
      <c r="AN687" s="9">
        <v>10</v>
      </c>
      <c r="AO687" s="9">
        <v>11</v>
      </c>
      <c r="AP687" s="9">
        <v>41</v>
      </c>
      <c r="AQ687" s="9">
        <v>38</v>
      </c>
      <c r="AR687" s="9">
        <v>0</v>
      </c>
      <c r="AS687" s="9">
        <v>160</v>
      </c>
      <c r="AT687" s="9">
        <v>158</v>
      </c>
      <c r="AU687" s="9">
        <v>155</v>
      </c>
      <c r="AV687" s="9">
        <v>154</v>
      </c>
      <c r="AW687" s="9">
        <v>123</v>
      </c>
      <c r="AX687" s="9">
        <v>0</v>
      </c>
      <c r="AY687" s="9">
        <v>0</v>
      </c>
      <c r="AZ687" s="9">
        <v>0</v>
      </c>
    </row>
    <row r="688" spans="2:52">
      <c r="B688" t="str">
        <f t="shared" si="50"/>
        <v>Jul</v>
      </c>
      <c r="C688" s="43">
        <f t="shared" si="51"/>
        <v>46215</v>
      </c>
      <c r="D688" s="44">
        <f t="shared" si="52"/>
        <v>46211</v>
      </c>
      <c r="E688" s="9" t="s">
        <v>45</v>
      </c>
      <c r="F688">
        <f t="shared" si="53"/>
        <v>0</v>
      </c>
      <c r="G688">
        <f t="shared" si="54"/>
        <v>16</v>
      </c>
      <c r="AJ688" s="40">
        <v>46211</v>
      </c>
      <c r="AK688" s="9" t="s">
        <v>202</v>
      </c>
      <c r="AL688" s="9" t="s">
        <v>45</v>
      </c>
      <c r="AM688" s="9"/>
      <c r="AN688" s="9">
        <v>48</v>
      </c>
      <c r="AO688" s="9">
        <v>42</v>
      </c>
      <c r="AP688" s="9">
        <v>46</v>
      </c>
      <c r="AQ688" s="9">
        <v>68</v>
      </c>
      <c r="AR688" s="9">
        <v>52</v>
      </c>
      <c r="AS688" s="9">
        <v>0</v>
      </c>
      <c r="AT688" s="9">
        <v>0</v>
      </c>
      <c r="AU688" s="9">
        <v>0</v>
      </c>
      <c r="AV688" s="9">
        <v>23</v>
      </c>
      <c r="AW688" s="9">
        <v>25</v>
      </c>
      <c r="AX688" s="9">
        <v>33</v>
      </c>
      <c r="AY688" s="9">
        <v>33</v>
      </c>
      <c r="AZ688" s="9">
        <v>26</v>
      </c>
    </row>
    <row r="689" spans="2:52">
      <c r="B689" t="str">
        <f t="shared" si="50"/>
        <v>Jul</v>
      </c>
      <c r="C689" s="43">
        <f t="shared" si="51"/>
        <v>46215</v>
      </c>
      <c r="D689" s="44">
        <f t="shared" si="52"/>
        <v>46211</v>
      </c>
      <c r="E689" s="9" t="s">
        <v>46</v>
      </c>
      <c r="F689">
        <f t="shared" si="53"/>
        <v>0</v>
      </c>
      <c r="G689">
        <f t="shared" si="54"/>
        <v>109</v>
      </c>
      <c r="AJ689" s="40">
        <v>46211</v>
      </c>
      <c r="AK689" s="9" t="s">
        <v>202</v>
      </c>
      <c r="AL689" s="9" t="s">
        <v>46</v>
      </c>
      <c r="AM689" s="9"/>
      <c r="AN689" s="9">
        <v>67</v>
      </c>
      <c r="AO689" s="9">
        <v>71</v>
      </c>
      <c r="AP689" s="9">
        <v>73</v>
      </c>
      <c r="AQ689" s="9">
        <v>53</v>
      </c>
      <c r="AR689" s="9">
        <v>53</v>
      </c>
      <c r="AS689" s="9">
        <v>126</v>
      </c>
      <c r="AT689" s="9">
        <v>123</v>
      </c>
      <c r="AU689" s="9">
        <v>112</v>
      </c>
      <c r="AV689" s="9">
        <v>116</v>
      </c>
      <c r="AW689" s="9">
        <v>112</v>
      </c>
      <c r="AX689" s="9">
        <v>153</v>
      </c>
      <c r="AY689" s="9">
        <v>149</v>
      </c>
      <c r="AZ689" s="9">
        <v>150</v>
      </c>
    </row>
    <row r="690" spans="2:52">
      <c r="B690" t="str">
        <f t="shared" si="50"/>
        <v>Jul</v>
      </c>
      <c r="C690" s="43">
        <f t="shared" si="51"/>
        <v>46215</v>
      </c>
      <c r="D690" s="44">
        <f t="shared" si="52"/>
        <v>46211</v>
      </c>
      <c r="E690" s="9" t="s">
        <v>47</v>
      </c>
      <c r="F690">
        <f t="shared" si="53"/>
        <v>0</v>
      </c>
      <c r="G690">
        <f t="shared" si="54"/>
        <v>-29</v>
      </c>
      <c r="AJ690" s="40">
        <v>46211</v>
      </c>
      <c r="AK690" s="9" t="s">
        <v>202</v>
      </c>
      <c r="AL690" s="9" t="s">
        <v>47</v>
      </c>
      <c r="AM690" s="9"/>
      <c r="AN690" s="9">
        <v>4</v>
      </c>
      <c r="AO690" s="9">
        <v>7</v>
      </c>
      <c r="AP690" s="9">
        <v>31</v>
      </c>
      <c r="AQ690" s="9">
        <v>29</v>
      </c>
      <c r="AR690" s="9">
        <v>71</v>
      </c>
      <c r="AS690" s="9">
        <v>75</v>
      </c>
      <c r="AT690" s="9">
        <v>77</v>
      </c>
      <c r="AU690" s="9">
        <v>77</v>
      </c>
      <c r="AV690" s="9">
        <v>77</v>
      </c>
      <c r="AW690" s="9">
        <v>224</v>
      </c>
      <c r="AX690" s="9">
        <v>226</v>
      </c>
      <c r="AY690" s="9">
        <v>0</v>
      </c>
      <c r="AZ690" s="9">
        <v>0</v>
      </c>
    </row>
    <row r="691" spans="2:52">
      <c r="B691" t="str">
        <f t="shared" si="50"/>
        <v>Jul</v>
      </c>
      <c r="C691" s="43">
        <f t="shared" si="51"/>
        <v>46215</v>
      </c>
      <c r="D691" s="44">
        <f t="shared" si="52"/>
        <v>46211</v>
      </c>
      <c r="E691" s="9" t="s">
        <v>206</v>
      </c>
      <c r="F691">
        <f t="shared" si="53"/>
        <v>0</v>
      </c>
      <c r="G691">
        <f t="shared" si="54"/>
        <v>-56</v>
      </c>
      <c r="AJ691" s="40">
        <v>46211</v>
      </c>
      <c r="AK691" s="9" t="s">
        <v>43</v>
      </c>
      <c r="AL691" s="9" t="s">
        <v>206</v>
      </c>
      <c r="AM691" s="9"/>
      <c r="AN691" s="9">
        <v>32</v>
      </c>
      <c r="AO691" s="9">
        <v>0</v>
      </c>
      <c r="AP691" s="9">
        <v>28</v>
      </c>
      <c r="AQ691" s="9">
        <v>21</v>
      </c>
      <c r="AR691" s="9">
        <v>29</v>
      </c>
      <c r="AS691" s="9">
        <v>29</v>
      </c>
      <c r="AT691" s="9">
        <v>31</v>
      </c>
      <c r="AU691" s="9">
        <v>32</v>
      </c>
      <c r="AV691" s="9">
        <v>34</v>
      </c>
      <c r="AW691" s="9">
        <v>87</v>
      </c>
      <c r="AX691" s="9">
        <v>72</v>
      </c>
      <c r="AY691" s="9">
        <v>64</v>
      </c>
      <c r="AZ691" s="9">
        <v>58</v>
      </c>
    </row>
    <row r="692" spans="2:52">
      <c r="B692" t="str">
        <f t="shared" si="50"/>
        <v>Jul</v>
      </c>
      <c r="C692" s="43">
        <f t="shared" si="51"/>
        <v>46215</v>
      </c>
      <c r="D692" s="44">
        <f t="shared" si="52"/>
        <v>46211</v>
      </c>
      <c r="E692" s="9" t="s">
        <v>207</v>
      </c>
      <c r="F692">
        <f t="shared" si="53"/>
        <v>0</v>
      </c>
      <c r="G692">
        <f t="shared" si="54"/>
        <v>34</v>
      </c>
      <c r="AJ692" s="40">
        <v>46211</v>
      </c>
      <c r="AK692" s="9" t="s">
        <v>203</v>
      </c>
      <c r="AL692" s="9" t="s">
        <v>207</v>
      </c>
      <c r="AM692" s="9"/>
      <c r="AN692" s="9">
        <v>0</v>
      </c>
      <c r="AO692" s="9">
        <v>0</v>
      </c>
      <c r="AP692" s="9">
        <v>30</v>
      </c>
      <c r="AQ692" s="9">
        <v>26</v>
      </c>
      <c r="AR692" s="9">
        <v>58</v>
      </c>
      <c r="AS692" s="9">
        <v>61</v>
      </c>
      <c r="AT692" s="9">
        <v>62</v>
      </c>
      <c r="AU692" s="9">
        <v>60</v>
      </c>
      <c r="AV692" s="9">
        <v>64</v>
      </c>
      <c r="AW692" s="9">
        <v>69</v>
      </c>
      <c r="AX692" s="9">
        <v>63</v>
      </c>
      <c r="AY692" s="9">
        <v>70</v>
      </c>
      <c r="AZ692" s="9">
        <v>78</v>
      </c>
    </row>
    <row r="693" spans="2:52">
      <c r="B693" t="str">
        <f t="shared" si="50"/>
        <v>Jul</v>
      </c>
      <c r="C693" s="43">
        <f t="shared" si="51"/>
        <v>46215</v>
      </c>
      <c r="D693" s="44">
        <f t="shared" si="52"/>
        <v>46211</v>
      </c>
      <c r="E693" s="9" t="s">
        <v>42</v>
      </c>
      <c r="F693">
        <f t="shared" si="53"/>
        <v>0</v>
      </c>
      <c r="G693">
        <f t="shared" si="54"/>
        <v>-7</v>
      </c>
      <c r="AJ693" s="40">
        <v>46211</v>
      </c>
      <c r="AK693" s="9" t="s">
        <v>42</v>
      </c>
      <c r="AL693" s="9" t="s">
        <v>42</v>
      </c>
      <c r="AM693" s="9"/>
      <c r="AN693" s="9">
        <v>0</v>
      </c>
      <c r="AO693" s="9">
        <v>23</v>
      </c>
      <c r="AP693" s="9">
        <v>0</v>
      </c>
      <c r="AQ693" s="9">
        <v>0</v>
      </c>
      <c r="AR693" s="9">
        <v>0</v>
      </c>
      <c r="AS693" s="9">
        <v>7</v>
      </c>
      <c r="AT693" s="9">
        <v>11</v>
      </c>
      <c r="AU693" s="9">
        <v>15</v>
      </c>
      <c r="AV693" s="9">
        <v>14</v>
      </c>
      <c r="AW693" s="9">
        <v>0</v>
      </c>
      <c r="AX693" s="9">
        <v>6</v>
      </c>
      <c r="AY693" s="9">
        <v>0</v>
      </c>
      <c r="AZ693" s="9">
        <v>0</v>
      </c>
    </row>
    <row r="694" spans="2:52">
      <c r="B694" t="str">
        <f t="shared" si="50"/>
        <v>Jul</v>
      </c>
      <c r="C694" s="43">
        <f t="shared" si="51"/>
        <v>46215</v>
      </c>
      <c r="D694" s="44">
        <f t="shared" si="52"/>
        <v>46212</v>
      </c>
      <c r="E694" s="9" t="s">
        <v>31</v>
      </c>
      <c r="F694">
        <f t="shared" si="53"/>
        <v>0</v>
      </c>
      <c r="G694">
        <f t="shared" si="54"/>
        <v>-8</v>
      </c>
      <c r="AJ694" s="40">
        <v>46212</v>
      </c>
      <c r="AK694" s="9" t="s">
        <v>204</v>
      </c>
      <c r="AL694" s="9" t="s">
        <v>31</v>
      </c>
      <c r="AM694" s="9"/>
      <c r="AN694" s="9">
        <v>152</v>
      </c>
      <c r="AO694" s="9">
        <v>139</v>
      </c>
      <c r="AP694" s="9">
        <v>155</v>
      </c>
      <c r="AQ694" s="9">
        <v>204</v>
      </c>
      <c r="AR694" s="9">
        <v>0</v>
      </c>
      <c r="AS694" s="9">
        <v>0</v>
      </c>
      <c r="AT694" s="9">
        <v>35</v>
      </c>
      <c r="AU694" s="9">
        <v>54</v>
      </c>
      <c r="AV694" s="9">
        <v>40</v>
      </c>
      <c r="AW694" s="9">
        <v>0</v>
      </c>
      <c r="AX694" s="9">
        <v>28</v>
      </c>
      <c r="AY694" s="9">
        <v>0</v>
      </c>
      <c r="AZ694" s="9">
        <v>0</v>
      </c>
    </row>
    <row r="695" spans="2:52">
      <c r="B695" t="str">
        <f t="shared" si="50"/>
        <v>Jul</v>
      </c>
      <c r="C695" s="43">
        <f t="shared" si="51"/>
        <v>46215</v>
      </c>
      <c r="D695" s="44">
        <f t="shared" si="52"/>
        <v>46212</v>
      </c>
      <c r="E695" s="9" t="s">
        <v>39</v>
      </c>
      <c r="F695">
        <f t="shared" si="53"/>
        <v>0</v>
      </c>
      <c r="G695">
        <f t="shared" si="54"/>
        <v>-240</v>
      </c>
      <c r="AJ695" s="40">
        <v>46212</v>
      </c>
      <c r="AK695" s="9" t="s">
        <v>205</v>
      </c>
      <c r="AL695" s="9" t="s">
        <v>39</v>
      </c>
      <c r="AM695" s="9"/>
      <c r="AN695" s="9">
        <v>65</v>
      </c>
      <c r="AO695" s="9">
        <v>88</v>
      </c>
      <c r="AP695" s="9">
        <v>90</v>
      </c>
      <c r="AQ695" s="9">
        <v>157</v>
      </c>
      <c r="AR695" s="9">
        <v>172</v>
      </c>
      <c r="AS695" s="9">
        <v>181</v>
      </c>
      <c r="AT695" s="9">
        <v>0</v>
      </c>
      <c r="AU695" s="9">
        <v>0</v>
      </c>
      <c r="AV695" s="9">
        <v>0</v>
      </c>
      <c r="AW695" s="9">
        <v>14</v>
      </c>
      <c r="AX695" s="9">
        <v>27</v>
      </c>
      <c r="AY695" s="9">
        <v>44</v>
      </c>
      <c r="AZ695" s="9">
        <v>0</v>
      </c>
    </row>
    <row r="696" spans="2:52">
      <c r="B696" t="str">
        <f t="shared" si="50"/>
        <v>Jul</v>
      </c>
      <c r="C696" s="43">
        <f t="shared" si="51"/>
        <v>46215</v>
      </c>
      <c r="D696" s="44">
        <f t="shared" si="52"/>
        <v>46212</v>
      </c>
      <c r="E696" s="9" t="s">
        <v>40</v>
      </c>
      <c r="F696">
        <f t="shared" si="53"/>
        <v>0</v>
      </c>
      <c r="G696">
        <f t="shared" si="54"/>
        <v>4</v>
      </c>
      <c r="AJ696" s="40">
        <v>46212</v>
      </c>
      <c r="AK696" s="9" t="s">
        <v>205</v>
      </c>
      <c r="AL696" s="9" t="s">
        <v>40</v>
      </c>
      <c r="AM696" s="9"/>
      <c r="AN696" s="9">
        <v>69</v>
      </c>
      <c r="AO696" s="9">
        <v>48</v>
      </c>
      <c r="AP696" s="9">
        <v>0</v>
      </c>
      <c r="AQ696" s="9">
        <v>6</v>
      </c>
      <c r="AR696" s="9">
        <v>17</v>
      </c>
      <c r="AS696" s="9">
        <v>14</v>
      </c>
      <c r="AT696" s="9">
        <v>13</v>
      </c>
      <c r="AU696" s="9">
        <v>18</v>
      </c>
      <c r="AV696" s="9">
        <v>30</v>
      </c>
      <c r="AW696" s="9">
        <v>0</v>
      </c>
      <c r="AX696" s="9">
        <v>21</v>
      </c>
      <c r="AY696" s="9">
        <v>0</v>
      </c>
      <c r="AZ696" s="9">
        <v>9</v>
      </c>
    </row>
    <row r="697" spans="2:52">
      <c r="B697" t="str">
        <f t="shared" si="50"/>
        <v>Jul</v>
      </c>
      <c r="C697" s="43">
        <f t="shared" si="51"/>
        <v>46215</v>
      </c>
      <c r="D697" s="44">
        <f t="shared" si="52"/>
        <v>46212</v>
      </c>
      <c r="E697" s="9" t="s">
        <v>41</v>
      </c>
      <c r="F697">
        <f t="shared" si="53"/>
        <v>0</v>
      </c>
      <c r="G697">
        <f t="shared" si="54"/>
        <v>0</v>
      </c>
      <c r="AJ697" s="40">
        <v>46212</v>
      </c>
      <c r="AK697" s="9" t="s">
        <v>41</v>
      </c>
      <c r="AL697" s="9" t="s">
        <v>41</v>
      </c>
      <c r="AM697" s="9"/>
      <c r="AN697" s="9">
        <v>31</v>
      </c>
      <c r="AO697" s="9">
        <v>78</v>
      </c>
      <c r="AP697" s="9">
        <v>166</v>
      </c>
      <c r="AQ697" s="9">
        <v>168</v>
      </c>
      <c r="AR697" s="9">
        <v>165</v>
      </c>
      <c r="AS697" s="9">
        <v>152</v>
      </c>
      <c r="AT697" s="9">
        <v>157</v>
      </c>
      <c r="AU697" s="9">
        <v>119</v>
      </c>
      <c r="AV697" s="9">
        <v>117</v>
      </c>
      <c r="AW697" s="9">
        <v>113</v>
      </c>
      <c r="AX697" s="9">
        <v>117</v>
      </c>
      <c r="AY697" s="9">
        <v>0</v>
      </c>
      <c r="AZ697" s="9">
        <v>0</v>
      </c>
    </row>
    <row r="698" spans="2:52">
      <c r="B698" t="str">
        <f t="shared" si="50"/>
        <v>Jul</v>
      </c>
      <c r="C698" s="43">
        <f t="shared" si="51"/>
        <v>46215</v>
      </c>
      <c r="D698" s="44">
        <f t="shared" si="52"/>
        <v>46212</v>
      </c>
      <c r="E698" s="9" t="s">
        <v>45</v>
      </c>
      <c r="F698">
        <f t="shared" si="53"/>
        <v>0</v>
      </c>
      <c r="G698">
        <f t="shared" si="54"/>
        <v>-26</v>
      </c>
      <c r="AJ698" s="40">
        <v>46212</v>
      </c>
      <c r="AK698" s="9" t="s">
        <v>202</v>
      </c>
      <c r="AL698" s="9" t="s">
        <v>45</v>
      </c>
      <c r="AM698" s="9"/>
      <c r="AN698" s="9">
        <v>66</v>
      </c>
      <c r="AO698" s="9">
        <v>71</v>
      </c>
      <c r="AP698" s="9">
        <v>74</v>
      </c>
      <c r="AQ698" s="9">
        <v>78</v>
      </c>
      <c r="AR698" s="9">
        <v>69</v>
      </c>
      <c r="AS698" s="9">
        <v>126</v>
      </c>
      <c r="AT698" s="9">
        <v>134</v>
      </c>
      <c r="AU698" s="9">
        <v>129</v>
      </c>
      <c r="AV698" s="9">
        <v>127</v>
      </c>
      <c r="AW698" s="9">
        <v>131</v>
      </c>
      <c r="AX698" s="9">
        <v>136</v>
      </c>
      <c r="AY698" s="9">
        <v>117</v>
      </c>
      <c r="AZ698" s="9">
        <v>0</v>
      </c>
    </row>
    <row r="699" spans="2:52">
      <c r="B699" t="str">
        <f t="shared" si="50"/>
        <v>Jul</v>
      </c>
      <c r="C699" s="43">
        <f t="shared" si="51"/>
        <v>46215</v>
      </c>
      <c r="D699" s="44">
        <f t="shared" si="52"/>
        <v>46212</v>
      </c>
      <c r="E699" s="9" t="s">
        <v>46</v>
      </c>
      <c r="F699">
        <f t="shared" si="53"/>
        <v>0</v>
      </c>
      <c r="G699">
        <f t="shared" si="54"/>
        <v>15</v>
      </c>
      <c r="AJ699" s="40">
        <v>46212</v>
      </c>
      <c r="AK699" s="9" t="s">
        <v>202</v>
      </c>
      <c r="AL699" s="9" t="s">
        <v>46</v>
      </c>
      <c r="AM699" s="9"/>
      <c r="AN699" s="9">
        <v>13</v>
      </c>
      <c r="AO699" s="9">
        <v>0</v>
      </c>
      <c r="AP699" s="9">
        <v>0</v>
      </c>
      <c r="AQ699" s="9">
        <v>0</v>
      </c>
      <c r="AR699" s="9">
        <v>0</v>
      </c>
      <c r="AS699" s="9">
        <v>0</v>
      </c>
      <c r="AT699" s="9">
        <v>3</v>
      </c>
      <c r="AU699" s="9">
        <v>5</v>
      </c>
      <c r="AV699" s="9">
        <v>5</v>
      </c>
      <c r="AW699" s="9">
        <v>6</v>
      </c>
      <c r="AX699" s="9">
        <v>10</v>
      </c>
      <c r="AY699" s="9">
        <v>0</v>
      </c>
      <c r="AZ699" s="9">
        <v>165</v>
      </c>
    </row>
    <row r="700" spans="2:52">
      <c r="B700" t="str">
        <f t="shared" si="50"/>
        <v>Jul</v>
      </c>
      <c r="C700" s="43">
        <f t="shared" si="51"/>
        <v>46215</v>
      </c>
      <c r="D700" s="44">
        <f t="shared" si="52"/>
        <v>46212</v>
      </c>
      <c r="E700" s="9" t="s">
        <v>47</v>
      </c>
      <c r="F700">
        <f t="shared" si="53"/>
        <v>0</v>
      </c>
      <c r="G700">
        <f t="shared" si="54"/>
        <v>67</v>
      </c>
      <c r="AJ700" s="40">
        <v>46212</v>
      </c>
      <c r="AK700" s="9" t="s">
        <v>202</v>
      </c>
      <c r="AL700" s="9" t="s">
        <v>47</v>
      </c>
      <c r="AM700" s="9"/>
      <c r="AN700" s="9">
        <v>14</v>
      </c>
      <c r="AO700" s="9">
        <v>11</v>
      </c>
      <c r="AP700" s="9">
        <v>15</v>
      </c>
      <c r="AQ700" s="9">
        <v>14</v>
      </c>
      <c r="AR700" s="9">
        <v>0</v>
      </c>
      <c r="AS700" s="9">
        <v>1</v>
      </c>
      <c r="AT700" s="9">
        <v>6</v>
      </c>
      <c r="AU700" s="9">
        <v>0</v>
      </c>
      <c r="AV700" s="9">
        <v>14</v>
      </c>
      <c r="AW700" s="9">
        <v>17</v>
      </c>
      <c r="AX700" s="9">
        <v>20</v>
      </c>
      <c r="AY700" s="9">
        <v>16</v>
      </c>
      <c r="AZ700" s="9">
        <v>67</v>
      </c>
    </row>
    <row r="701" spans="2:52">
      <c r="B701" t="str">
        <f t="shared" si="50"/>
        <v>Jul</v>
      </c>
      <c r="C701" s="43">
        <f t="shared" si="51"/>
        <v>46215</v>
      </c>
      <c r="D701" s="44">
        <f t="shared" si="52"/>
        <v>46212</v>
      </c>
      <c r="E701" s="9" t="s">
        <v>206</v>
      </c>
      <c r="F701">
        <f t="shared" si="53"/>
        <v>0</v>
      </c>
      <c r="G701">
        <f t="shared" si="54"/>
        <v>60</v>
      </c>
      <c r="AJ701" s="40">
        <v>46212</v>
      </c>
      <c r="AK701" s="9" t="s">
        <v>43</v>
      </c>
      <c r="AL701" s="9" t="s">
        <v>206</v>
      </c>
      <c r="AM701" s="9"/>
      <c r="AN701" s="9">
        <v>8</v>
      </c>
      <c r="AO701" s="9">
        <v>11</v>
      </c>
      <c r="AP701" s="9">
        <v>66</v>
      </c>
      <c r="AQ701" s="9">
        <v>96</v>
      </c>
      <c r="AR701" s="9">
        <v>102</v>
      </c>
      <c r="AS701" s="9">
        <v>0</v>
      </c>
      <c r="AT701" s="9">
        <v>2</v>
      </c>
      <c r="AU701" s="9">
        <v>0</v>
      </c>
      <c r="AV701" s="9">
        <v>6</v>
      </c>
      <c r="AW701" s="9">
        <v>6</v>
      </c>
      <c r="AX701" s="9">
        <v>5</v>
      </c>
      <c r="AY701" s="9">
        <v>111</v>
      </c>
      <c r="AZ701" s="9">
        <v>118</v>
      </c>
    </row>
    <row r="702" spans="2:52">
      <c r="B702" t="str">
        <f t="shared" si="50"/>
        <v>Jul</v>
      </c>
      <c r="C702" s="43">
        <f t="shared" si="51"/>
        <v>46215</v>
      </c>
      <c r="D702" s="44">
        <f t="shared" si="52"/>
        <v>46212</v>
      </c>
      <c r="E702" s="9" t="s">
        <v>207</v>
      </c>
      <c r="F702">
        <f t="shared" si="53"/>
        <v>0</v>
      </c>
      <c r="G702">
        <f t="shared" si="54"/>
        <v>-60</v>
      </c>
      <c r="AJ702" s="40">
        <v>46212</v>
      </c>
      <c r="AK702" s="9" t="s">
        <v>203</v>
      </c>
      <c r="AL702" s="9" t="s">
        <v>207</v>
      </c>
      <c r="AM702" s="9"/>
      <c r="AN702" s="9">
        <v>18</v>
      </c>
      <c r="AO702" s="9">
        <v>12</v>
      </c>
      <c r="AP702" s="9">
        <v>11</v>
      </c>
      <c r="AQ702" s="9">
        <v>19</v>
      </c>
      <c r="AR702" s="9">
        <v>0</v>
      </c>
      <c r="AS702" s="9">
        <v>3</v>
      </c>
      <c r="AT702" s="9">
        <v>94</v>
      </c>
      <c r="AU702" s="9">
        <v>96</v>
      </c>
      <c r="AV702" s="9">
        <v>88</v>
      </c>
      <c r="AW702" s="9">
        <v>93</v>
      </c>
      <c r="AX702" s="9">
        <v>0</v>
      </c>
      <c r="AY702" s="9">
        <v>26</v>
      </c>
      <c r="AZ702" s="9">
        <v>18</v>
      </c>
    </row>
    <row r="703" spans="2:52">
      <c r="B703" t="str">
        <f t="shared" si="50"/>
        <v>Jul</v>
      </c>
      <c r="C703" s="43">
        <f t="shared" si="51"/>
        <v>46215</v>
      </c>
      <c r="D703" s="44">
        <f t="shared" si="52"/>
        <v>46212</v>
      </c>
      <c r="E703" s="9" t="s">
        <v>42</v>
      </c>
      <c r="F703">
        <f t="shared" si="53"/>
        <v>0</v>
      </c>
      <c r="G703">
        <f t="shared" si="54"/>
        <v>32</v>
      </c>
      <c r="AJ703" s="40">
        <v>46212</v>
      </c>
      <c r="AK703" s="9" t="s">
        <v>42</v>
      </c>
      <c r="AL703" s="9" t="s">
        <v>42</v>
      </c>
      <c r="AM703" s="9"/>
      <c r="AN703" s="9">
        <v>32</v>
      </c>
      <c r="AO703" s="9">
        <v>39</v>
      </c>
      <c r="AP703" s="9">
        <v>37</v>
      </c>
      <c r="AQ703" s="9">
        <v>31</v>
      </c>
      <c r="AR703" s="9">
        <v>38</v>
      </c>
      <c r="AS703" s="9">
        <v>43</v>
      </c>
      <c r="AT703" s="9">
        <v>50</v>
      </c>
      <c r="AU703" s="9">
        <v>0</v>
      </c>
      <c r="AV703" s="9">
        <v>0</v>
      </c>
      <c r="AW703" s="9">
        <v>1</v>
      </c>
      <c r="AX703" s="9">
        <v>22</v>
      </c>
      <c r="AY703" s="9">
        <v>28</v>
      </c>
      <c r="AZ703" s="9">
        <v>32</v>
      </c>
    </row>
    <row r="704" spans="2:52">
      <c r="B704" t="str">
        <f t="shared" si="50"/>
        <v>Jul</v>
      </c>
      <c r="C704" s="43">
        <f t="shared" si="51"/>
        <v>46215</v>
      </c>
      <c r="D704" s="44">
        <f t="shared" si="52"/>
        <v>46213</v>
      </c>
      <c r="E704" s="9" t="s">
        <v>31</v>
      </c>
      <c r="F704">
        <f t="shared" si="53"/>
        <v>0</v>
      </c>
      <c r="G704">
        <f t="shared" si="54"/>
        <v>0</v>
      </c>
      <c r="AJ704" s="40">
        <v>46213</v>
      </c>
      <c r="AK704" s="9" t="s">
        <v>204</v>
      </c>
      <c r="AL704" s="9" t="s">
        <v>31</v>
      </c>
      <c r="AM704" s="9"/>
      <c r="AN704" s="9">
        <v>117</v>
      </c>
      <c r="AO704" s="9">
        <v>84</v>
      </c>
      <c r="AP704" s="9">
        <v>0</v>
      </c>
      <c r="AQ704" s="9">
        <v>0</v>
      </c>
      <c r="AR704" s="9">
        <v>11</v>
      </c>
      <c r="AS704" s="9">
        <v>10</v>
      </c>
      <c r="AT704" s="9">
        <v>25</v>
      </c>
      <c r="AU704" s="9">
        <v>29</v>
      </c>
      <c r="AV704" s="9">
        <v>46</v>
      </c>
      <c r="AW704" s="9">
        <v>47</v>
      </c>
      <c r="AX704" s="9">
        <v>44</v>
      </c>
      <c r="AY704" s="9">
        <v>46</v>
      </c>
      <c r="AZ704" s="9">
        <v>0</v>
      </c>
    </row>
    <row r="705" spans="2:52">
      <c r="B705" t="str">
        <f t="shared" si="50"/>
        <v>Jul</v>
      </c>
      <c r="C705" s="43">
        <f t="shared" si="51"/>
        <v>46215</v>
      </c>
      <c r="D705" s="44">
        <f t="shared" si="52"/>
        <v>46213</v>
      </c>
      <c r="E705" s="9" t="s">
        <v>39</v>
      </c>
      <c r="F705">
        <f t="shared" si="53"/>
        <v>0</v>
      </c>
      <c r="G705">
        <f t="shared" si="54"/>
        <v>188</v>
      </c>
      <c r="AJ705" s="40">
        <v>46213</v>
      </c>
      <c r="AK705" s="9" t="s">
        <v>205</v>
      </c>
      <c r="AL705" s="9" t="s">
        <v>39</v>
      </c>
      <c r="AM705" s="9"/>
      <c r="AN705" s="9">
        <v>0</v>
      </c>
      <c r="AO705" s="9">
        <v>46</v>
      </c>
      <c r="AP705" s="9">
        <v>56</v>
      </c>
      <c r="AQ705" s="9">
        <v>44</v>
      </c>
      <c r="AR705" s="9">
        <v>39</v>
      </c>
      <c r="AS705" s="9">
        <v>52</v>
      </c>
      <c r="AT705" s="9">
        <v>60</v>
      </c>
      <c r="AU705" s="9">
        <v>58</v>
      </c>
      <c r="AV705" s="9">
        <v>75</v>
      </c>
      <c r="AW705" s="9">
        <v>84</v>
      </c>
      <c r="AX705" s="9">
        <v>93</v>
      </c>
      <c r="AY705" s="9">
        <v>82</v>
      </c>
      <c r="AZ705" s="9">
        <v>188</v>
      </c>
    </row>
    <row r="706" spans="2:52">
      <c r="B706" t="str">
        <f t="shared" si="50"/>
        <v>Jul</v>
      </c>
      <c r="C706" s="43">
        <f t="shared" si="51"/>
        <v>46215</v>
      </c>
      <c r="D706" s="44">
        <f t="shared" si="52"/>
        <v>46213</v>
      </c>
      <c r="E706" s="9" t="s">
        <v>40</v>
      </c>
      <c r="F706">
        <f t="shared" si="53"/>
        <v>0</v>
      </c>
      <c r="G706">
        <f t="shared" si="54"/>
        <v>-8</v>
      </c>
      <c r="AJ706" s="40">
        <v>46213</v>
      </c>
      <c r="AK706" s="9" t="s">
        <v>205</v>
      </c>
      <c r="AL706" s="9" t="s">
        <v>40</v>
      </c>
      <c r="AM706" s="9"/>
      <c r="AN706" s="9">
        <v>37</v>
      </c>
      <c r="AO706" s="9">
        <v>0</v>
      </c>
      <c r="AP706" s="9">
        <v>0</v>
      </c>
      <c r="AQ706" s="9">
        <v>27</v>
      </c>
      <c r="AR706" s="9">
        <v>35</v>
      </c>
      <c r="AS706" s="9">
        <v>69</v>
      </c>
      <c r="AT706" s="9">
        <v>68</v>
      </c>
      <c r="AU706" s="9">
        <v>120</v>
      </c>
      <c r="AV706" s="9">
        <v>174</v>
      </c>
      <c r="AW706" s="9">
        <v>165</v>
      </c>
      <c r="AX706" s="9">
        <v>0</v>
      </c>
      <c r="AY706" s="9">
        <v>2</v>
      </c>
      <c r="AZ706" s="9">
        <v>1</v>
      </c>
    </row>
    <row r="707" spans="2:52">
      <c r="B707" t="str">
        <f t="shared" si="50"/>
        <v>Jul</v>
      </c>
      <c r="C707" s="43">
        <f t="shared" si="51"/>
        <v>46215</v>
      </c>
      <c r="D707" s="44">
        <f t="shared" si="52"/>
        <v>46213</v>
      </c>
      <c r="E707" s="9" t="s">
        <v>41</v>
      </c>
      <c r="F707">
        <f t="shared" si="53"/>
        <v>0</v>
      </c>
      <c r="G707">
        <f t="shared" si="54"/>
        <v>240</v>
      </c>
      <c r="AJ707" s="40">
        <v>46213</v>
      </c>
      <c r="AK707" s="9" t="s">
        <v>41</v>
      </c>
      <c r="AL707" s="9" t="s">
        <v>41</v>
      </c>
      <c r="AM707" s="9"/>
      <c r="AN707" s="9">
        <v>19</v>
      </c>
      <c r="AO707" s="9">
        <v>164</v>
      </c>
      <c r="AP707" s="9">
        <v>161</v>
      </c>
      <c r="AQ707" s="9">
        <v>158</v>
      </c>
      <c r="AR707" s="9">
        <v>161</v>
      </c>
      <c r="AS707" s="9">
        <v>161</v>
      </c>
      <c r="AT707" s="9">
        <v>158</v>
      </c>
      <c r="AU707" s="9">
        <v>155</v>
      </c>
      <c r="AV707" s="9">
        <v>220</v>
      </c>
      <c r="AW707" s="9">
        <v>221</v>
      </c>
      <c r="AX707" s="9">
        <v>218</v>
      </c>
      <c r="AY707" s="9">
        <v>199</v>
      </c>
      <c r="AZ707" s="9">
        <v>240</v>
      </c>
    </row>
    <row r="708" spans="2:52">
      <c r="B708" t="str">
        <f t="shared" si="50"/>
        <v>Jul</v>
      </c>
      <c r="C708" s="43">
        <f t="shared" si="51"/>
        <v>46215</v>
      </c>
      <c r="D708" s="44">
        <f t="shared" si="52"/>
        <v>46213</v>
      </c>
      <c r="E708" s="9" t="s">
        <v>45</v>
      </c>
      <c r="F708">
        <f t="shared" si="53"/>
        <v>0</v>
      </c>
      <c r="G708">
        <f t="shared" si="54"/>
        <v>31</v>
      </c>
      <c r="AJ708" s="40">
        <v>46213</v>
      </c>
      <c r="AK708" s="9" t="s">
        <v>202</v>
      </c>
      <c r="AL708" s="9" t="s">
        <v>45</v>
      </c>
      <c r="AM708" s="9"/>
      <c r="AN708" s="9">
        <v>40</v>
      </c>
      <c r="AO708" s="9">
        <v>36</v>
      </c>
      <c r="AP708" s="9">
        <v>12</v>
      </c>
      <c r="AQ708" s="9">
        <v>12</v>
      </c>
      <c r="AR708" s="9">
        <v>12</v>
      </c>
      <c r="AS708" s="9">
        <v>8</v>
      </c>
      <c r="AT708" s="9">
        <v>16</v>
      </c>
      <c r="AU708" s="9">
        <v>17</v>
      </c>
      <c r="AV708" s="9">
        <v>12</v>
      </c>
      <c r="AW708" s="9">
        <v>19</v>
      </c>
      <c r="AX708" s="9">
        <v>25</v>
      </c>
      <c r="AY708" s="9">
        <v>23</v>
      </c>
      <c r="AZ708" s="9">
        <v>31</v>
      </c>
    </row>
    <row r="709" spans="2:52">
      <c r="B709" t="str">
        <f t="shared" ref="B709:B772" si="55">TEXT(C709,"MMM")</f>
        <v>Jul</v>
      </c>
      <c r="C709" s="43">
        <f t="shared" ref="C709:C772" si="56">AJ709+(8-WEEKDAY(AJ709))</f>
        <v>46215</v>
      </c>
      <c r="D709" s="44">
        <f t="shared" ref="D709:D772" si="57">AJ709</f>
        <v>46213</v>
      </c>
      <c r="E709" s="9" t="s">
        <v>46</v>
      </c>
      <c r="F709">
        <f t="shared" ref="F709:F772" si="58">IF(SUM(V709:AI709)&lt;=0,0,SUM(V709:AI709))</f>
        <v>0</v>
      </c>
      <c r="G709">
        <f t="shared" si="54"/>
        <v>-165</v>
      </c>
      <c r="AJ709" s="40">
        <v>46213</v>
      </c>
      <c r="AK709" s="9" t="s">
        <v>202</v>
      </c>
      <c r="AL709" s="9" t="s">
        <v>46</v>
      </c>
      <c r="AM709" s="9"/>
      <c r="AN709" s="9">
        <v>18</v>
      </c>
      <c r="AO709" s="9">
        <v>22</v>
      </c>
      <c r="AP709" s="9">
        <v>44</v>
      </c>
      <c r="AQ709" s="9">
        <v>42</v>
      </c>
      <c r="AR709" s="9">
        <v>66</v>
      </c>
      <c r="AS709" s="9">
        <v>69</v>
      </c>
      <c r="AT709" s="9">
        <v>65</v>
      </c>
      <c r="AU709" s="9">
        <v>61</v>
      </c>
      <c r="AV709" s="9">
        <v>61</v>
      </c>
      <c r="AW709" s="9">
        <v>63</v>
      </c>
      <c r="AX709" s="9">
        <v>65</v>
      </c>
      <c r="AY709" s="9">
        <v>116</v>
      </c>
      <c r="AZ709" s="9">
        <v>0</v>
      </c>
    </row>
    <row r="710" spans="2:52">
      <c r="B710" t="str">
        <f t="shared" si="55"/>
        <v>Jul</v>
      </c>
      <c r="C710" s="43">
        <f t="shared" si="56"/>
        <v>46215</v>
      </c>
      <c r="D710" s="44">
        <f t="shared" si="57"/>
        <v>46213</v>
      </c>
      <c r="E710" s="9" t="s">
        <v>47</v>
      </c>
      <c r="F710">
        <f t="shared" si="58"/>
        <v>0</v>
      </c>
      <c r="G710">
        <f t="shared" si="54"/>
        <v>-67</v>
      </c>
      <c r="AJ710" s="40">
        <v>46213</v>
      </c>
      <c r="AK710" s="9" t="s">
        <v>202</v>
      </c>
      <c r="AL710" s="9" t="s">
        <v>47</v>
      </c>
      <c r="AM710" s="9"/>
      <c r="AN710" s="9">
        <v>0</v>
      </c>
      <c r="AO710" s="9">
        <v>0</v>
      </c>
      <c r="AP710" s="9">
        <v>0</v>
      </c>
      <c r="AQ710" s="9">
        <v>7</v>
      </c>
      <c r="AR710" s="9">
        <v>0</v>
      </c>
      <c r="AS710" s="9">
        <v>0</v>
      </c>
      <c r="AT710" s="9">
        <v>11</v>
      </c>
      <c r="AU710" s="9">
        <v>7</v>
      </c>
      <c r="AV710" s="9">
        <v>6</v>
      </c>
      <c r="AW710" s="9">
        <v>8</v>
      </c>
      <c r="AX710" s="9">
        <v>143</v>
      </c>
      <c r="AY710" s="9">
        <v>140</v>
      </c>
      <c r="AZ710" s="9">
        <v>0</v>
      </c>
    </row>
    <row r="711" spans="2:52">
      <c r="B711" t="str">
        <f t="shared" si="55"/>
        <v>Jul</v>
      </c>
      <c r="C711" s="43">
        <f t="shared" si="56"/>
        <v>46215</v>
      </c>
      <c r="D711" s="44">
        <f t="shared" si="57"/>
        <v>46213</v>
      </c>
      <c r="E711" s="9" t="s">
        <v>206</v>
      </c>
      <c r="F711">
        <f t="shared" si="58"/>
        <v>0</v>
      </c>
      <c r="G711">
        <f t="shared" si="54"/>
        <v>-118</v>
      </c>
      <c r="AJ711" s="40">
        <v>46213</v>
      </c>
      <c r="AK711" s="9" t="s">
        <v>43</v>
      </c>
      <c r="AL711" s="9" t="s">
        <v>206</v>
      </c>
      <c r="AM711" s="9"/>
      <c r="AN711" s="9">
        <v>37</v>
      </c>
      <c r="AO711" s="9">
        <v>43</v>
      </c>
      <c r="AP711" s="9">
        <v>188</v>
      </c>
      <c r="AQ711" s="9">
        <v>193</v>
      </c>
      <c r="AR711" s="9">
        <v>0</v>
      </c>
      <c r="AS711" s="9">
        <v>0</v>
      </c>
      <c r="AT711" s="9">
        <v>1</v>
      </c>
      <c r="AU711" s="9">
        <v>2</v>
      </c>
      <c r="AV711" s="9">
        <v>0</v>
      </c>
      <c r="AW711" s="9">
        <v>20</v>
      </c>
      <c r="AX711" s="9">
        <v>12</v>
      </c>
      <c r="AY711" s="9">
        <v>0</v>
      </c>
      <c r="AZ711" s="9">
        <v>0</v>
      </c>
    </row>
    <row r="712" spans="2:52">
      <c r="B712" t="str">
        <f t="shared" si="55"/>
        <v>Jul</v>
      </c>
      <c r="C712" s="43">
        <f t="shared" si="56"/>
        <v>46215</v>
      </c>
      <c r="D712" s="44">
        <f t="shared" si="57"/>
        <v>46213</v>
      </c>
      <c r="E712" s="9" t="s">
        <v>207</v>
      </c>
      <c r="F712">
        <f t="shared" si="58"/>
        <v>0</v>
      </c>
      <c r="G712">
        <f t="shared" si="54"/>
        <v>-1</v>
      </c>
      <c r="AJ712" s="40">
        <v>46213</v>
      </c>
      <c r="AK712" s="9" t="s">
        <v>203</v>
      </c>
      <c r="AL712" s="9" t="s">
        <v>207</v>
      </c>
      <c r="AM712" s="9"/>
      <c r="AN712" s="9">
        <v>0</v>
      </c>
      <c r="AO712" s="9">
        <v>0</v>
      </c>
      <c r="AP712" s="9">
        <v>4</v>
      </c>
      <c r="AQ712" s="9">
        <v>7</v>
      </c>
      <c r="AR712" s="9">
        <v>2</v>
      </c>
      <c r="AS712" s="9">
        <v>0</v>
      </c>
      <c r="AT712" s="9">
        <v>5</v>
      </c>
      <c r="AU712" s="9">
        <v>0</v>
      </c>
      <c r="AV712" s="9">
        <v>8</v>
      </c>
      <c r="AW712" s="9">
        <v>0</v>
      </c>
      <c r="AX712" s="9">
        <v>8</v>
      </c>
      <c r="AY712" s="9">
        <v>10</v>
      </c>
      <c r="AZ712" s="9">
        <v>17</v>
      </c>
    </row>
    <row r="713" spans="2:52">
      <c r="B713" t="str">
        <f t="shared" si="55"/>
        <v>Jul</v>
      </c>
      <c r="C713" s="43">
        <f t="shared" si="56"/>
        <v>46215</v>
      </c>
      <c r="D713" s="44">
        <f t="shared" si="57"/>
        <v>46213</v>
      </c>
      <c r="E713" s="9" t="s">
        <v>42</v>
      </c>
      <c r="F713">
        <f t="shared" si="58"/>
        <v>0</v>
      </c>
      <c r="G713">
        <f t="shared" si="54"/>
        <v>102</v>
      </c>
      <c r="AJ713" s="40">
        <v>46213</v>
      </c>
      <c r="AK713" s="9" t="s">
        <v>42</v>
      </c>
      <c r="AL713" s="9" t="s">
        <v>42</v>
      </c>
      <c r="AM713" s="9"/>
      <c r="AN713" s="9">
        <v>19</v>
      </c>
      <c r="AO713" s="9">
        <v>0</v>
      </c>
      <c r="AP713" s="9">
        <v>4</v>
      </c>
      <c r="AQ713" s="9">
        <v>4</v>
      </c>
      <c r="AR713" s="9">
        <v>2</v>
      </c>
      <c r="AS713" s="9">
        <v>4</v>
      </c>
      <c r="AT713" s="9">
        <v>89</v>
      </c>
      <c r="AU713" s="9">
        <v>94</v>
      </c>
      <c r="AV713" s="9">
        <v>94</v>
      </c>
      <c r="AW713" s="9">
        <v>119</v>
      </c>
      <c r="AX713" s="9">
        <v>126</v>
      </c>
      <c r="AY713" s="9">
        <v>128</v>
      </c>
      <c r="AZ713" s="9">
        <v>134</v>
      </c>
    </row>
    <row r="714" spans="2:52">
      <c r="B714" t="str">
        <f t="shared" si="55"/>
        <v>Jul</v>
      </c>
      <c r="C714" s="43">
        <f t="shared" si="56"/>
        <v>46215</v>
      </c>
      <c r="D714" s="44">
        <f t="shared" si="57"/>
        <v>46214</v>
      </c>
      <c r="E714" s="9" t="s">
        <v>31</v>
      </c>
      <c r="F714">
        <f t="shared" si="58"/>
        <v>0</v>
      </c>
      <c r="G714">
        <f t="shared" si="54"/>
        <v>66</v>
      </c>
      <c r="AJ714" s="40">
        <v>46214</v>
      </c>
      <c r="AK714" s="9" t="s">
        <v>204</v>
      </c>
      <c r="AL714" s="9" t="s">
        <v>31</v>
      </c>
      <c r="AM714" s="9"/>
      <c r="AN714" s="9">
        <v>69</v>
      </c>
      <c r="AO714" s="9">
        <v>74</v>
      </c>
      <c r="AP714" s="9">
        <v>77</v>
      </c>
      <c r="AQ714" s="9">
        <v>70</v>
      </c>
      <c r="AR714" s="9">
        <v>80</v>
      </c>
      <c r="AS714" s="9">
        <v>72</v>
      </c>
      <c r="AT714" s="9">
        <v>79</v>
      </c>
      <c r="AU714" s="9">
        <v>86</v>
      </c>
      <c r="AV714" s="9">
        <v>77</v>
      </c>
      <c r="AW714" s="9">
        <v>71</v>
      </c>
      <c r="AX714" s="9">
        <v>91</v>
      </c>
      <c r="AY714" s="9">
        <v>84</v>
      </c>
      <c r="AZ714" s="9">
        <v>66</v>
      </c>
    </row>
    <row r="715" spans="2:52">
      <c r="B715" t="str">
        <f t="shared" si="55"/>
        <v>Jul</v>
      </c>
      <c r="C715" s="43">
        <f t="shared" si="56"/>
        <v>46215</v>
      </c>
      <c r="D715" s="44">
        <f t="shared" si="57"/>
        <v>46214</v>
      </c>
      <c r="E715" s="9" t="s">
        <v>39</v>
      </c>
      <c r="F715">
        <f t="shared" si="58"/>
        <v>0</v>
      </c>
      <c r="G715">
        <f t="shared" si="54"/>
        <v>-34</v>
      </c>
      <c r="AJ715" s="40">
        <v>46214</v>
      </c>
      <c r="AK715" s="9" t="s">
        <v>205</v>
      </c>
      <c r="AL715" s="9" t="s">
        <v>39</v>
      </c>
      <c r="AM715" s="9"/>
      <c r="AN715" s="9">
        <v>57</v>
      </c>
      <c r="AO715" s="9">
        <v>100</v>
      </c>
      <c r="AP715" s="9">
        <v>89</v>
      </c>
      <c r="AQ715" s="9">
        <v>100</v>
      </c>
      <c r="AR715" s="9">
        <v>95</v>
      </c>
      <c r="AS715" s="9">
        <v>112</v>
      </c>
      <c r="AT715" s="9">
        <v>99</v>
      </c>
      <c r="AU715" s="9">
        <v>105</v>
      </c>
      <c r="AV715" s="9">
        <v>91</v>
      </c>
      <c r="AW715" s="9">
        <v>0</v>
      </c>
      <c r="AX715" s="9">
        <v>167</v>
      </c>
      <c r="AY715" s="9">
        <v>155</v>
      </c>
      <c r="AZ715" s="9">
        <v>154</v>
      </c>
    </row>
    <row r="716" spans="2:52">
      <c r="B716" t="str">
        <f t="shared" si="55"/>
        <v>Jul</v>
      </c>
      <c r="C716" s="43">
        <f t="shared" si="56"/>
        <v>46215</v>
      </c>
      <c r="D716" s="44">
        <f t="shared" si="57"/>
        <v>46214</v>
      </c>
      <c r="E716" s="9" t="s">
        <v>40</v>
      </c>
      <c r="F716">
        <f t="shared" si="58"/>
        <v>0</v>
      </c>
      <c r="G716">
        <f t="shared" si="54"/>
        <v>71</v>
      </c>
      <c r="AJ716" s="40">
        <v>46214</v>
      </c>
      <c r="AK716" s="9" t="s">
        <v>205</v>
      </c>
      <c r="AL716" s="9" t="s">
        <v>40</v>
      </c>
      <c r="AM716" s="9"/>
      <c r="AN716" s="9">
        <v>80</v>
      </c>
      <c r="AO716" s="9">
        <v>86</v>
      </c>
      <c r="AP716" s="9">
        <v>95</v>
      </c>
      <c r="AQ716" s="9">
        <v>92</v>
      </c>
      <c r="AR716" s="9">
        <v>95</v>
      </c>
      <c r="AS716" s="9">
        <v>85</v>
      </c>
      <c r="AT716" s="9">
        <v>89</v>
      </c>
      <c r="AU716" s="9">
        <v>81</v>
      </c>
      <c r="AV716" s="9">
        <v>93</v>
      </c>
      <c r="AW716" s="9">
        <v>99</v>
      </c>
      <c r="AX716" s="9">
        <v>59</v>
      </c>
      <c r="AY716" s="9">
        <v>75</v>
      </c>
      <c r="AZ716" s="9">
        <v>72</v>
      </c>
    </row>
    <row r="717" spans="2:52">
      <c r="B717" t="str">
        <f t="shared" si="55"/>
        <v>Jul</v>
      </c>
      <c r="C717" s="43">
        <f t="shared" si="56"/>
        <v>46215</v>
      </c>
      <c r="D717" s="44">
        <f t="shared" si="57"/>
        <v>46214</v>
      </c>
      <c r="E717" s="9" t="s">
        <v>41</v>
      </c>
      <c r="F717">
        <f t="shared" si="58"/>
        <v>0</v>
      </c>
      <c r="G717">
        <f t="shared" si="54"/>
        <v>-228</v>
      </c>
      <c r="AJ717" s="40">
        <v>46214</v>
      </c>
      <c r="AK717" s="9" t="s">
        <v>41</v>
      </c>
      <c r="AL717" s="9" t="s">
        <v>41</v>
      </c>
      <c r="AM717" s="9"/>
      <c r="AN717" s="9">
        <v>34</v>
      </c>
      <c r="AO717" s="9">
        <v>0</v>
      </c>
      <c r="AP717" s="9">
        <v>0</v>
      </c>
      <c r="AQ717" s="9">
        <v>8</v>
      </c>
      <c r="AR717" s="9">
        <v>0</v>
      </c>
      <c r="AS717" s="9">
        <v>1</v>
      </c>
      <c r="AT717" s="9">
        <v>4</v>
      </c>
      <c r="AU717" s="9">
        <v>9</v>
      </c>
      <c r="AV717" s="9">
        <v>6</v>
      </c>
      <c r="AW717" s="9">
        <v>0</v>
      </c>
      <c r="AX717" s="9">
        <v>0</v>
      </c>
      <c r="AY717" s="9">
        <v>8</v>
      </c>
      <c r="AZ717" s="9">
        <v>12</v>
      </c>
    </row>
    <row r="718" spans="2:52">
      <c r="B718" t="str">
        <f t="shared" si="55"/>
        <v>Jul</v>
      </c>
      <c r="C718" s="43">
        <f t="shared" si="56"/>
        <v>46215</v>
      </c>
      <c r="D718" s="44">
        <f t="shared" si="57"/>
        <v>46214</v>
      </c>
      <c r="E718" s="9" t="s">
        <v>45</v>
      </c>
      <c r="F718">
        <f t="shared" si="58"/>
        <v>0</v>
      </c>
      <c r="G718">
        <f t="shared" si="54"/>
        <v>-19</v>
      </c>
      <c r="AJ718" s="40">
        <v>46214</v>
      </c>
      <c r="AK718" s="9" t="s">
        <v>202</v>
      </c>
      <c r="AL718" s="9" t="s">
        <v>45</v>
      </c>
      <c r="AM718" s="9"/>
      <c r="AN718" s="9">
        <v>31</v>
      </c>
      <c r="AO718" s="9">
        <v>78</v>
      </c>
      <c r="AP718" s="9">
        <v>60</v>
      </c>
      <c r="AQ718" s="9">
        <v>64</v>
      </c>
      <c r="AR718" s="9">
        <v>61</v>
      </c>
      <c r="AS718" s="9">
        <v>64</v>
      </c>
      <c r="AT718" s="9">
        <v>74</v>
      </c>
      <c r="AU718" s="9">
        <v>77</v>
      </c>
      <c r="AV718" s="9">
        <v>0</v>
      </c>
      <c r="AW718" s="9">
        <v>0</v>
      </c>
      <c r="AX718" s="9">
        <v>0</v>
      </c>
      <c r="AY718" s="9">
        <v>11</v>
      </c>
      <c r="AZ718" s="9">
        <v>12</v>
      </c>
    </row>
    <row r="719" spans="2:52">
      <c r="B719" t="str">
        <f t="shared" si="55"/>
        <v>Jul</v>
      </c>
      <c r="C719" s="43">
        <f t="shared" si="56"/>
        <v>46215</v>
      </c>
      <c r="D719" s="44">
        <f t="shared" si="57"/>
        <v>46214</v>
      </c>
      <c r="E719" s="9" t="s">
        <v>46</v>
      </c>
      <c r="F719">
        <f t="shared" si="58"/>
        <v>0</v>
      </c>
      <c r="G719">
        <f t="shared" ref="G719:G782" si="59">SUM(H719:U719)+AZ719-AZ709</f>
        <v>18</v>
      </c>
      <c r="AJ719" s="40">
        <v>46214</v>
      </c>
      <c r="AK719" s="9" t="s">
        <v>202</v>
      </c>
      <c r="AL719" s="9" t="s">
        <v>46</v>
      </c>
      <c r="AM719" s="9"/>
      <c r="AN719" s="9">
        <v>34</v>
      </c>
      <c r="AO719" s="9">
        <v>0</v>
      </c>
      <c r="AP719" s="9">
        <v>6</v>
      </c>
      <c r="AQ719" s="9">
        <v>2</v>
      </c>
      <c r="AR719" s="9">
        <v>0</v>
      </c>
      <c r="AS719" s="9">
        <v>3</v>
      </c>
      <c r="AT719" s="9">
        <v>6</v>
      </c>
      <c r="AU719" s="9">
        <v>27</v>
      </c>
      <c r="AV719" s="9">
        <v>27</v>
      </c>
      <c r="AW719" s="9">
        <v>0</v>
      </c>
      <c r="AX719" s="9">
        <v>11</v>
      </c>
      <c r="AY719" s="9">
        <v>14</v>
      </c>
      <c r="AZ719" s="9">
        <v>18</v>
      </c>
    </row>
    <row r="720" spans="2:52">
      <c r="B720" t="str">
        <f t="shared" si="55"/>
        <v>Jul</v>
      </c>
      <c r="C720" s="43">
        <f t="shared" si="56"/>
        <v>46215</v>
      </c>
      <c r="D720" s="44">
        <f t="shared" si="57"/>
        <v>46214</v>
      </c>
      <c r="E720" s="9" t="s">
        <v>47</v>
      </c>
      <c r="F720">
        <f t="shared" si="58"/>
        <v>0</v>
      </c>
      <c r="G720">
        <f t="shared" si="59"/>
        <v>0</v>
      </c>
      <c r="AJ720" s="40">
        <v>46214</v>
      </c>
      <c r="AK720" s="9" t="s">
        <v>202</v>
      </c>
      <c r="AL720" s="9" t="s">
        <v>47</v>
      </c>
      <c r="AM720" s="9"/>
      <c r="AN720" s="9">
        <v>19</v>
      </c>
      <c r="AO720" s="9">
        <v>30</v>
      </c>
      <c r="AP720" s="9">
        <v>32</v>
      </c>
      <c r="AQ720" s="9">
        <v>35</v>
      </c>
      <c r="AR720" s="9">
        <v>40</v>
      </c>
      <c r="AS720" s="9">
        <v>45</v>
      </c>
      <c r="AT720" s="9">
        <v>0</v>
      </c>
      <c r="AU720" s="9">
        <v>1</v>
      </c>
      <c r="AV720" s="9">
        <v>6</v>
      </c>
      <c r="AW720" s="9">
        <v>2</v>
      </c>
      <c r="AX720" s="9">
        <v>0</v>
      </c>
      <c r="AY720" s="9">
        <v>1</v>
      </c>
      <c r="AZ720" s="9">
        <v>0</v>
      </c>
    </row>
    <row r="721" spans="2:52">
      <c r="B721" t="str">
        <f t="shared" si="55"/>
        <v>Jul</v>
      </c>
      <c r="C721" s="43">
        <f t="shared" si="56"/>
        <v>46215</v>
      </c>
      <c r="D721" s="44">
        <f t="shared" si="57"/>
        <v>46214</v>
      </c>
      <c r="E721" s="9" t="s">
        <v>206</v>
      </c>
      <c r="F721">
        <f t="shared" si="58"/>
        <v>0</v>
      </c>
      <c r="G721">
        <f t="shared" si="59"/>
        <v>9</v>
      </c>
      <c r="AJ721" s="40">
        <v>46214</v>
      </c>
      <c r="AK721" s="9" t="s">
        <v>43</v>
      </c>
      <c r="AL721" s="9" t="s">
        <v>206</v>
      </c>
      <c r="AM721" s="9"/>
      <c r="AN721" s="9">
        <v>43</v>
      </c>
      <c r="AO721" s="9">
        <v>50</v>
      </c>
      <c r="AP721" s="9">
        <v>0</v>
      </c>
      <c r="AQ721" s="9">
        <v>28</v>
      </c>
      <c r="AR721" s="9">
        <v>26</v>
      </c>
      <c r="AS721" s="9">
        <v>30</v>
      </c>
      <c r="AT721" s="9">
        <v>30</v>
      </c>
      <c r="AU721" s="9">
        <v>39</v>
      </c>
      <c r="AV721" s="9">
        <v>36</v>
      </c>
      <c r="AW721" s="9">
        <v>36</v>
      </c>
      <c r="AX721" s="9">
        <v>0</v>
      </c>
      <c r="AY721" s="9">
        <v>46</v>
      </c>
      <c r="AZ721" s="9">
        <v>9</v>
      </c>
    </row>
    <row r="722" spans="2:52">
      <c r="B722" t="str">
        <f t="shared" si="55"/>
        <v>Jul</v>
      </c>
      <c r="C722" s="43">
        <f t="shared" si="56"/>
        <v>46215</v>
      </c>
      <c r="D722" s="44">
        <f t="shared" si="57"/>
        <v>46214</v>
      </c>
      <c r="E722" s="9" t="s">
        <v>207</v>
      </c>
      <c r="F722">
        <f t="shared" si="58"/>
        <v>0</v>
      </c>
      <c r="G722">
        <f t="shared" si="59"/>
        <v>12</v>
      </c>
      <c r="AJ722" s="40">
        <v>46214</v>
      </c>
      <c r="AK722" s="9" t="s">
        <v>203</v>
      </c>
      <c r="AL722" s="9" t="s">
        <v>207</v>
      </c>
      <c r="AM722" s="9"/>
      <c r="AN722" s="9">
        <v>56</v>
      </c>
      <c r="AO722" s="9">
        <v>85</v>
      </c>
      <c r="AP722" s="9">
        <v>82</v>
      </c>
      <c r="AQ722" s="9">
        <v>86</v>
      </c>
      <c r="AR722" s="9">
        <v>94</v>
      </c>
      <c r="AS722" s="9">
        <v>90</v>
      </c>
      <c r="AT722" s="9">
        <v>0</v>
      </c>
      <c r="AU722" s="9">
        <v>2</v>
      </c>
      <c r="AV722" s="9">
        <v>0</v>
      </c>
      <c r="AW722" s="9">
        <v>0</v>
      </c>
      <c r="AX722" s="9">
        <v>19</v>
      </c>
      <c r="AY722" s="9">
        <v>21</v>
      </c>
      <c r="AZ722" s="9">
        <v>29</v>
      </c>
    </row>
    <row r="723" spans="2:52">
      <c r="B723" t="str">
        <f t="shared" si="55"/>
        <v>Jul</v>
      </c>
      <c r="C723" s="43">
        <f t="shared" si="56"/>
        <v>46215</v>
      </c>
      <c r="D723" s="44">
        <f t="shared" si="57"/>
        <v>46214</v>
      </c>
      <c r="E723" s="9" t="s">
        <v>42</v>
      </c>
      <c r="F723">
        <f t="shared" si="58"/>
        <v>0</v>
      </c>
      <c r="G723">
        <f t="shared" si="59"/>
        <v>53</v>
      </c>
      <c r="AJ723" s="40">
        <v>46214</v>
      </c>
      <c r="AK723" s="9" t="s">
        <v>42</v>
      </c>
      <c r="AL723" s="9" t="s">
        <v>42</v>
      </c>
      <c r="AM723" s="9"/>
      <c r="AN723" s="9">
        <v>52</v>
      </c>
      <c r="AO723" s="9">
        <v>46</v>
      </c>
      <c r="AP723" s="9">
        <v>61</v>
      </c>
      <c r="AQ723" s="9">
        <v>66</v>
      </c>
      <c r="AR723" s="9">
        <v>70</v>
      </c>
      <c r="AS723" s="9">
        <v>71</v>
      </c>
      <c r="AT723" s="9">
        <v>117</v>
      </c>
      <c r="AU723" s="9">
        <v>120</v>
      </c>
      <c r="AV723" s="9">
        <v>125</v>
      </c>
      <c r="AW723" s="9">
        <v>120</v>
      </c>
      <c r="AX723" s="9">
        <v>119</v>
      </c>
      <c r="AY723" s="9">
        <v>114</v>
      </c>
      <c r="AZ723" s="9">
        <v>187</v>
      </c>
    </row>
    <row r="724" spans="2:52">
      <c r="B724" t="str">
        <f t="shared" si="55"/>
        <v>Jul</v>
      </c>
      <c r="C724" s="43">
        <f t="shared" si="56"/>
        <v>46222</v>
      </c>
      <c r="D724" s="44">
        <f t="shared" si="57"/>
        <v>46215</v>
      </c>
      <c r="E724" s="9" t="s">
        <v>31</v>
      </c>
      <c r="F724">
        <f t="shared" si="58"/>
        <v>0</v>
      </c>
      <c r="G724">
        <f t="shared" si="59"/>
        <v>-45</v>
      </c>
      <c r="AJ724" s="40">
        <v>46215</v>
      </c>
      <c r="AK724" s="9" t="s">
        <v>204</v>
      </c>
      <c r="AL724" s="9" t="s">
        <v>31</v>
      </c>
      <c r="AM724" s="9"/>
      <c r="AN724" s="9">
        <v>19</v>
      </c>
      <c r="AO724" s="9">
        <v>25</v>
      </c>
      <c r="AP724" s="9">
        <v>36</v>
      </c>
      <c r="AQ724" s="9">
        <v>16</v>
      </c>
      <c r="AR724" s="9">
        <v>2</v>
      </c>
      <c r="AS724" s="9">
        <v>0</v>
      </c>
      <c r="AT724" s="9">
        <v>12</v>
      </c>
      <c r="AU724" s="9">
        <v>10</v>
      </c>
      <c r="AV724" s="9">
        <v>0</v>
      </c>
      <c r="AW724" s="9">
        <v>0</v>
      </c>
      <c r="AX724" s="9">
        <v>44</v>
      </c>
      <c r="AY724" s="9">
        <v>34</v>
      </c>
      <c r="AZ724" s="9">
        <v>21</v>
      </c>
    </row>
    <row r="725" spans="2:52">
      <c r="B725" t="str">
        <f t="shared" si="55"/>
        <v>Jul</v>
      </c>
      <c r="C725" s="43">
        <f t="shared" si="56"/>
        <v>46222</v>
      </c>
      <c r="D725" s="44">
        <f t="shared" si="57"/>
        <v>46215</v>
      </c>
      <c r="E725" s="9" t="s">
        <v>39</v>
      </c>
      <c r="F725">
        <f t="shared" si="58"/>
        <v>0</v>
      </c>
      <c r="G725">
        <f t="shared" si="59"/>
        <v>-63</v>
      </c>
      <c r="AJ725" s="40">
        <v>46215</v>
      </c>
      <c r="AK725" s="9" t="s">
        <v>205</v>
      </c>
      <c r="AL725" s="9" t="s">
        <v>39</v>
      </c>
      <c r="AM725" s="9"/>
      <c r="AN725" s="9">
        <v>88</v>
      </c>
      <c r="AO725" s="9">
        <v>81</v>
      </c>
      <c r="AP725" s="9">
        <v>98</v>
      </c>
      <c r="AQ725" s="9">
        <v>84</v>
      </c>
      <c r="AR725" s="9">
        <v>95</v>
      </c>
      <c r="AS725" s="9">
        <v>89</v>
      </c>
      <c r="AT725" s="9">
        <v>77</v>
      </c>
      <c r="AU725" s="9">
        <v>0</v>
      </c>
      <c r="AV725" s="9">
        <v>58</v>
      </c>
      <c r="AW725" s="9">
        <v>45</v>
      </c>
      <c r="AX725" s="9">
        <v>96</v>
      </c>
      <c r="AY725" s="9">
        <v>84</v>
      </c>
      <c r="AZ725" s="9">
        <v>91</v>
      </c>
    </row>
    <row r="726" spans="2:52">
      <c r="B726" t="str">
        <f t="shared" si="55"/>
        <v>Jul</v>
      </c>
      <c r="C726" s="43">
        <f t="shared" si="56"/>
        <v>46222</v>
      </c>
      <c r="D726" s="44">
        <f t="shared" si="57"/>
        <v>46215</v>
      </c>
      <c r="E726" s="9" t="s">
        <v>40</v>
      </c>
      <c r="F726">
        <f t="shared" si="58"/>
        <v>0</v>
      </c>
      <c r="G726">
        <f t="shared" si="59"/>
        <v>-47</v>
      </c>
      <c r="AJ726" s="40">
        <v>46215</v>
      </c>
      <c r="AK726" s="9" t="s">
        <v>205</v>
      </c>
      <c r="AL726" s="9" t="s">
        <v>40</v>
      </c>
      <c r="AM726" s="9"/>
      <c r="AN726" s="9">
        <v>34</v>
      </c>
      <c r="AO726" s="9">
        <v>43</v>
      </c>
      <c r="AP726" s="9">
        <v>55</v>
      </c>
      <c r="AQ726" s="9">
        <v>61</v>
      </c>
      <c r="AR726" s="9">
        <v>61</v>
      </c>
      <c r="AS726" s="9">
        <v>69</v>
      </c>
      <c r="AT726" s="9">
        <v>67</v>
      </c>
      <c r="AU726" s="9">
        <v>27</v>
      </c>
      <c r="AV726" s="9">
        <v>34</v>
      </c>
      <c r="AW726" s="9">
        <v>0</v>
      </c>
      <c r="AX726" s="9">
        <v>0</v>
      </c>
      <c r="AY726" s="9">
        <v>4</v>
      </c>
      <c r="AZ726" s="9">
        <v>25</v>
      </c>
    </row>
    <row r="727" spans="2:52">
      <c r="B727" t="str">
        <f t="shared" si="55"/>
        <v>Jul</v>
      </c>
      <c r="C727" s="43">
        <f t="shared" si="56"/>
        <v>46222</v>
      </c>
      <c r="D727" s="44">
        <f t="shared" si="57"/>
        <v>46215</v>
      </c>
      <c r="E727" s="9" t="s">
        <v>41</v>
      </c>
      <c r="F727">
        <f t="shared" si="58"/>
        <v>0</v>
      </c>
      <c r="G727">
        <f t="shared" si="59"/>
        <v>105</v>
      </c>
      <c r="AJ727" s="40">
        <v>46215</v>
      </c>
      <c r="AK727" s="9" t="s">
        <v>41</v>
      </c>
      <c r="AL727" s="9" t="s">
        <v>41</v>
      </c>
      <c r="AM727" s="9"/>
      <c r="AN727" s="9">
        <v>30</v>
      </c>
      <c r="AO727" s="9">
        <v>12</v>
      </c>
      <c r="AP727" s="9">
        <v>14</v>
      </c>
      <c r="AQ727" s="9">
        <v>0</v>
      </c>
      <c r="AR727" s="9">
        <v>3</v>
      </c>
      <c r="AS727" s="9">
        <v>0</v>
      </c>
      <c r="AT727" s="9">
        <v>15</v>
      </c>
      <c r="AU727" s="9">
        <v>62</v>
      </c>
      <c r="AV727" s="9">
        <v>58</v>
      </c>
      <c r="AW727" s="9">
        <v>56</v>
      </c>
      <c r="AX727" s="9">
        <v>60</v>
      </c>
      <c r="AY727" s="9">
        <v>59</v>
      </c>
      <c r="AZ727" s="9">
        <v>117</v>
      </c>
    </row>
    <row r="728" spans="2:52">
      <c r="B728" t="str">
        <f t="shared" si="55"/>
        <v>Jul</v>
      </c>
      <c r="C728" s="43">
        <f t="shared" si="56"/>
        <v>46222</v>
      </c>
      <c r="D728" s="44">
        <f t="shared" si="57"/>
        <v>46215</v>
      </c>
      <c r="E728" s="9" t="s">
        <v>45</v>
      </c>
      <c r="F728">
        <f t="shared" si="58"/>
        <v>0</v>
      </c>
      <c r="G728">
        <f t="shared" si="59"/>
        <v>-10</v>
      </c>
      <c r="AJ728" s="40">
        <v>46215</v>
      </c>
      <c r="AK728" s="9" t="s">
        <v>202</v>
      </c>
      <c r="AL728" s="9" t="s">
        <v>45</v>
      </c>
      <c r="AM728" s="9"/>
      <c r="AN728" s="9">
        <v>45</v>
      </c>
      <c r="AO728" s="9">
        <v>40</v>
      </c>
      <c r="AP728" s="9">
        <v>40</v>
      </c>
      <c r="AQ728" s="9">
        <v>42</v>
      </c>
      <c r="AR728" s="9">
        <v>0</v>
      </c>
      <c r="AS728" s="9">
        <v>26</v>
      </c>
      <c r="AT728" s="9">
        <v>44</v>
      </c>
      <c r="AU728" s="9">
        <v>97</v>
      </c>
      <c r="AV728" s="9">
        <v>104</v>
      </c>
      <c r="AW728" s="9">
        <v>108</v>
      </c>
      <c r="AX728" s="9">
        <v>0</v>
      </c>
      <c r="AY728" s="9">
        <v>4</v>
      </c>
      <c r="AZ728" s="9">
        <v>2</v>
      </c>
    </row>
    <row r="729" spans="2:52">
      <c r="B729" t="str">
        <f t="shared" si="55"/>
        <v>Jul</v>
      </c>
      <c r="C729" s="43">
        <f t="shared" si="56"/>
        <v>46222</v>
      </c>
      <c r="D729" s="44">
        <f t="shared" si="57"/>
        <v>46215</v>
      </c>
      <c r="E729" s="9" t="s">
        <v>46</v>
      </c>
      <c r="F729">
        <f t="shared" si="58"/>
        <v>0</v>
      </c>
      <c r="G729">
        <f t="shared" si="59"/>
        <v>207</v>
      </c>
      <c r="AJ729" s="40">
        <v>46215</v>
      </c>
      <c r="AK729" s="9" t="s">
        <v>202</v>
      </c>
      <c r="AL729" s="9" t="s">
        <v>46</v>
      </c>
      <c r="AM729" s="9"/>
      <c r="AN729" s="9">
        <v>11</v>
      </c>
      <c r="AO729" s="9">
        <v>8</v>
      </c>
      <c r="AP729" s="9">
        <v>6</v>
      </c>
      <c r="AQ729" s="9">
        <v>10</v>
      </c>
      <c r="AR729" s="9">
        <v>14</v>
      </c>
      <c r="AS729" s="9">
        <v>18</v>
      </c>
      <c r="AT729" s="9">
        <v>81</v>
      </c>
      <c r="AU729" s="9">
        <v>81</v>
      </c>
      <c r="AV729" s="9">
        <v>77</v>
      </c>
      <c r="AW729" s="9">
        <v>193</v>
      </c>
      <c r="AX729" s="9">
        <v>221</v>
      </c>
      <c r="AY729" s="9">
        <v>202</v>
      </c>
      <c r="AZ729" s="9">
        <v>225</v>
      </c>
    </row>
    <row r="730" spans="2:52">
      <c r="B730" t="str">
        <f t="shared" si="55"/>
        <v>Jul</v>
      </c>
      <c r="C730" s="43">
        <f t="shared" si="56"/>
        <v>46222</v>
      </c>
      <c r="D730" s="44">
        <f t="shared" si="57"/>
        <v>46215</v>
      </c>
      <c r="E730" s="9" t="s">
        <v>47</v>
      </c>
      <c r="F730">
        <f t="shared" si="58"/>
        <v>0</v>
      </c>
      <c r="G730">
        <f t="shared" si="59"/>
        <v>14</v>
      </c>
      <c r="AJ730" s="40">
        <v>46215</v>
      </c>
      <c r="AK730" s="9" t="s">
        <v>202</v>
      </c>
      <c r="AL730" s="9" t="s">
        <v>47</v>
      </c>
      <c r="AM730" s="9"/>
      <c r="AN730" s="9">
        <v>8</v>
      </c>
      <c r="AO730" s="9">
        <v>5</v>
      </c>
      <c r="AP730" s="9">
        <v>0</v>
      </c>
      <c r="AQ730" s="9">
        <v>18</v>
      </c>
      <c r="AR730" s="9">
        <v>22</v>
      </c>
      <c r="AS730" s="9">
        <v>19</v>
      </c>
      <c r="AT730" s="9">
        <v>20</v>
      </c>
      <c r="AU730" s="9">
        <v>0</v>
      </c>
      <c r="AV730" s="9">
        <v>0</v>
      </c>
      <c r="AW730" s="9">
        <v>2</v>
      </c>
      <c r="AX730" s="9">
        <v>6</v>
      </c>
      <c r="AY730" s="9">
        <v>11</v>
      </c>
      <c r="AZ730" s="9">
        <v>14</v>
      </c>
    </row>
    <row r="731" spans="2:52">
      <c r="B731" t="str">
        <f t="shared" si="55"/>
        <v>Jul</v>
      </c>
      <c r="C731" s="43">
        <f t="shared" si="56"/>
        <v>46222</v>
      </c>
      <c r="D731" s="44">
        <f t="shared" si="57"/>
        <v>46215</v>
      </c>
      <c r="E731" s="9" t="s">
        <v>206</v>
      </c>
      <c r="F731">
        <f t="shared" si="58"/>
        <v>0</v>
      </c>
      <c r="G731">
        <f t="shared" si="59"/>
        <v>-9</v>
      </c>
      <c r="AJ731" s="40">
        <v>46215</v>
      </c>
      <c r="AK731" s="9" t="s">
        <v>43</v>
      </c>
      <c r="AL731" s="9" t="s">
        <v>206</v>
      </c>
      <c r="AM731" s="9"/>
      <c r="AN731" s="9">
        <v>7</v>
      </c>
      <c r="AO731" s="9">
        <v>0</v>
      </c>
      <c r="AP731" s="9">
        <v>3</v>
      </c>
      <c r="AQ731" s="9">
        <v>12</v>
      </c>
      <c r="AR731" s="9">
        <v>13</v>
      </c>
      <c r="AS731" s="9">
        <v>13</v>
      </c>
      <c r="AT731" s="9">
        <v>0</v>
      </c>
      <c r="AU731" s="9">
        <v>0</v>
      </c>
      <c r="AV731" s="9">
        <v>9</v>
      </c>
      <c r="AW731" s="9">
        <v>14</v>
      </c>
      <c r="AX731" s="9">
        <v>7</v>
      </c>
      <c r="AY731" s="9">
        <v>10</v>
      </c>
      <c r="AZ731" s="9">
        <v>0</v>
      </c>
    </row>
    <row r="732" spans="2:52">
      <c r="B732" t="str">
        <f t="shared" si="55"/>
        <v>Jul</v>
      </c>
      <c r="C732" s="43">
        <f t="shared" si="56"/>
        <v>46222</v>
      </c>
      <c r="D732" s="44">
        <f t="shared" si="57"/>
        <v>46215</v>
      </c>
      <c r="E732" s="9" t="s">
        <v>207</v>
      </c>
      <c r="F732">
        <f t="shared" si="58"/>
        <v>0</v>
      </c>
      <c r="G732">
        <f t="shared" si="59"/>
        <v>-29</v>
      </c>
      <c r="AJ732" s="40">
        <v>46215</v>
      </c>
      <c r="AK732" s="9" t="s">
        <v>203</v>
      </c>
      <c r="AL732" s="9" t="s">
        <v>207</v>
      </c>
      <c r="AM732" s="9"/>
      <c r="AN732" s="9">
        <v>37</v>
      </c>
      <c r="AO732" s="9">
        <v>41</v>
      </c>
      <c r="AP732" s="9">
        <v>0</v>
      </c>
      <c r="AQ732" s="9">
        <v>7</v>
      </c>
      <c r="AR732" s="9">
        <v>26</v>
      </c>
      <c r="AS732" s="9">
        <v>18</v>
      </c>
      <c r="AT732" s="9">
        <v>24</v>
      </c>
      <c r="AU732" s="9">
        <v>23</v>
      </c>
      <c r="AV732" s="9">
        <v>24</v>
      </c>
      <c r="AW732" s="9">
        <v>0</v>
      </c>
      <c r="AX732" s="9">
        <v>0</v>
      </c>
      <c r="AY732" s="9">
        <v>0</v>
      </c>
      <c r="AZ732" s="9">
        <v>0</v>
      </c>
    </row>
    <row r="733" spans="2:52">
      <c r="B733" t="str">
        <f t="shared" si="55"/>
        <v>Jul</v>
      </c>
      <c r="C733" s="43">
        <f t="shared" si="56"/>
        <v>46222</v>
      </c>
      <c r="D733" s="44">
        <f t="shared" si="57"/>
        <v>46215</v>
      </c>
      <c r="E733" s="9" t="s">
        <v>42</v>
      </c>
      <c r="F733">
        <f t="shared" si="58"/>
        <v>0</v>
      </c>
      <c r="G733">
        <f t="shared" si="59"/>
        <v>-184</v>
      </c>
      <c r="AJ733" s="40">
        <v>46215</v>
      </c>
      <c r="AK733" s="9" t="s">
        <v>42</v>
      </c>
      <c r="AL733" s="9" t="s">
        <v>42</v>
      </c>
      <c r="AM733" s="9"/>
      <c r="AN733" s="9">
        <v>28</v>
      </c>
      <c r="AO733" s="9">
        <v>27</v>
      </c>
      <c r="AP733" s="9">
        <v>28</v>
      </c>
      <c r="AQ733" s="9">
        <v>6</v>
      </c>
      <c r="AR733" s="9">
        <v>1</v>
      </c>
      <c r="AS733" s="9">
        <v>3</v>
      </c>
      <c r="AT733" s="9">
        <v>0</v>
      </c>
      <c r="AU733" s="9">
        <v>16</v>
      </c>
      <c r="AV733" s="9">
        <v>21</v>
      </c>
      <c r="AW733" s="9">
        <v>0</v>
      </c>
      <c r="AX733" s="9">
        <v>9</v>
      </c>
      <c r="AY733" s="9">
        <v>9</v>
      </c>
      <c r="AZ733" s="9">
        <v>3</v>
      </c>
    </row>
    <row r="734" spans="2:52">
      <c r="B734" t="str">
        <f t="shared" si="55"/>
        <v>Jul</v>
      </c>
      <c r="C734" s="43">
        <f t="shared" si="56"/>
        <v>46222</v>
      </c>
      <c r="D734" s="44">
        <f t="shared" si="57"/>
        <v>46216</v>
      </c>
      <c r="E734" s="9" t="s">
        <v>31</v>
      </c>
      <c r="F734">
        <f t="shared" si="58"/>
        <v>0</v>
      </c>
      <c r="G734">
        <f t="shared" si="59"/>
        <v>-21</v>
      </c>
      <c r="AJ734" s="40">
        <v>46216</v>
      </c>
      <c r="AK734" s="9" t="s">
        <v>204</v>
      </c>
      <c r="AL734" s="9" t="s">
        <v>31</v>
      </c>
      <c r="AM734" s="9"/>
      <c r="AN734" s="9">
        <v>141</v>
      </c>
      <c r="AO734" s="9">
        <v>145</v>
      </c>
      <c r="AP734" s="9">
        <v>135</v>
      </c>
      <c r="AQ734" s="9">
        <v>126</v>
      </c>
      <c r="AR734" s="9">
        <v>104</v>
      </c>
      <c r="AS734" s="9">
        <v>94</v>
      </c>
      <c r="AT734" s="9">
        <v>85</v>
      </c>
      <c r="AU734" s="9">
        <v>100</v>
      </c>
      <c r="AV734" s="9">
        <v>107</v>
      </c>
      <c r="AW734" s="9">
        <v>112</v>
      </c>
      <c r="AX734" s="9">
        <v>123</v>
      </c>
      <c r="AY734" s="9">
        <v>161</v>
      </c>
      <c r="AZ734" s="9">
        <v>0</v>
      </c>
    </row>
    <row r="735" spans="2:52">
      <c r="B735" t="str">
        <f t="shared" si="55"/>
        <v>Jul</v>
      </c>
      <c r="C735" s="43">
        <f t="shared" si="56"/>
        <v>46222</v>
      </c>
      <c r="D735" s="44">
        <f t="shared" si="57"/>
        <v>46216</v>
      </c>
      <c r="E735" s="9" t="s">
        <v>39</v>
      </c>
      <c r="F735">
        <f t="shared" si="58"/>
        <v>0</v>
      </c>
      <c r="G735">
        <f t="shared" si="59"/>
        <v>149</v>
      </c>
      <c r="AJ735" s="40">
        <v>46216</v>
      </c>
      <c r="AK735" s="9" t="s">
        <v>205</v>
      </c>
      <c r="AL735" s="9" t="s">
        <v>39</v>
      </c>
      <c r="AM735" s="9"/>
      <c r="AN735" s="9">
        <v>141</v>
      </c>
      <c r="AO735" s="9">
        <v>152</v>
      </c>
      <c r="AP735" s="9">
        <v>228</v>
      </c>
      <c r="AQ735" s="9">
        <v>240</v>
      </c>
      <c r="AR735" s="9">
        <v>240</v>
      </c>
      <c r="AS735" s="9">
        <v>240</v>
      </c>
      <c r="AT735" s="9">
        <v>240</v>
      </c>
      <c r="AU735" s="9">
        <v>240</v>
      </c>
      <c r="AV735" s="9">
        <v>201</v>
      </c>
      <c r="AW735" s="9">
        <v>190</v>
      </c>
      <c r="AX735" s="9">
        <v>197</v>
      </c>
      <c r="AY735" s="9">
        <v>240</v>
      </c>
      <c r="AZ735" s="9">
        <v>240</v>
      </c>
    </row>
    <row r="736" spans="2:52">
      <c r="B736" t="str">
        <f t="shared" si="55"/>
        <v>Jul</v>
      </c>
      <c r="C736" s="43">
        <f t="shared" si="56"/>
        <v>46222</v>
      </c>
      <c r="D736" s="44">
        <f t="shared" si="57"/>
        <v>46216</v>
      </c>
      <c r="E736" s="9" t="s">
        <v>40</v>
      </c>
      <c r="F736">
        <f t="shared" si="58"/>
        <v>0</v>
      </c>
      <c r="G736">
        <f t="shared" si="59"/>
        <v>198</v>
      </c>
      <c r="AJ736" s="40">
        <v>46216</v>
      </c>
      <c r="AK736" s="9" t="s">
        <v>205</v>
      </c>
      <c r="AL736" s="9" t="s">
        <v>40</v>
      </c>
      <c r="AM736" s="9"/>
      <c r="AN736" s="9">
        <v>16</v>
      </c>
      <c r="AO736" s="9">
        <v>19</v>
      </c>
      <c r="AP736" s="9">
        <v>10</v>
      </c>
      <c r="AQ736" s="9">
        <v>0</v>
      </c>
      <c r="AR736" s="9">
        <v>3</v>
      </c>
      <c r="AS736" s="9">
        <v>0</v>
      </c>
      <c r="AT736" s="9">
        <v>0</v>
      </c>
      <c r="AU736" s="9">
        <v>12</v>
      </c>
      <c r="AV736" s="9">
        <v>10</v>
      </c>
      <c r="AW736" s="9">
        <v>12</v>
      </c>
      <c r="AX736" s="9">
        <v>9</v>
      </c>
      <c r="AY736" s="9">
        <v>157</v>
      </c>
      <c r="AZ736" s="9">
        <v>223</v>
      </c>
    </row>
    <row r="737" spans="2:52">
      <c r="B737" t="str">
        <f t="shared" si="55"/>
        <v>Jul</v>
      </c>
      <c r="C737" s="43">
        <f t="shared" si="56"/>
        <v>46222</v>
      </c>
      <c r="D737" s="44">
        <f t="shared" si="57"/>
        <v>46216</v>
      </c>
      <c r="E737" s="9" t="s">
        <v>41</v>
      </c>
      <c r="F737">
        <f t="shared" si="58"/>
        <v>0</v>
      </c>
      <c r="G737">
        <f t="shared" si="59"/>
        <v>-46</v>
      </c>
      <c r="AJ737" s="40">
        <v>46216</v>
      </c>
      <c r="AK737" s="9" t="s">
        <v>41</v>
      </c>
      <c r="AL737" s="9" t="s">
        <v>41</v>
      </c>
      <c r="AM737" s="9"/>
      <c r="AN737" s="9">
        <v>31</v>
      </c>
      <c r="AO737" s="9">
        <v>54</v>
      </c>
      <c r="AP737" s="9">
        <v>50</v>
      </c>
      <c r="AQ737" s="9">
        <v>50</v>
      </c>
      <c r="AR737" s="9">
        <v>52</v>
      </c>
      <c r="AS737" s="9">
        <v>54</v>
      </c>
      <c r="AT737" s="9">
        <v>58</v>
      </c>
      <c r="AU737" s="9">
        <v>63</v>
      </c>
      <c r="AV737" s="9">
        <v>64</v>
      </c>
      <c r="AW737" s="9">
        <v>66</v>
      </c>
      <c r="AX737" s="9">
        <v>69</v>
      </c>
      <c r="AY737" s="9">
        <v>73</v>
      </c>
      <c r="AZ737" s="9">
        <v>71</v>
      </c>
    </row>
    <row r="738" spans="2:52">
      <c r="B738" t="str">
        <f t="shared" si="55"/>
        <v>Jul</v>
      </c>
      <c r="C738" s="43">
        <f t="shared" si="56"/>
        <v>46222</v>
      </c>
      <c r="D738" s="44">
        <f t="shared" si="57"/>
        <v>46216</v>
      </c>
      <c r="E738" s="9" t="s">
        <v>45</v>
      </c>
      <c r="F738">
        <f t="shared" si="58"/>
        <v>0</v>
      </c>
      <c r="G738">
        <f t="shared" si="59"/>
        <v>40</v>
      </c>
      <c r="AJ738" s="40">
        <v>46216</v>
      </c>
      <c r="AK738" s="9" t="s">
        <v>202</v>
      </c>
      <c r="AL738" s="9" t="s">
        <v>45</v>
      </c>
      <c r="AM738" s="9"/>
      <c r="AN738" s="9">
        <v>118</v>
      </c>
      <c r="AO738" s="9">
        <v>115</v>
      </c>
      <c r="AP738" s="9">
        <v>0</v>
      </c>
      <c r="AQ738" s="9">
        <v>28</v>
      </c>
      <c r="AR738" s="9">
        <v>0</v>
      </c>
      <c r="AS738" s="9">
        <v>0</v>
      </c>
      <c r="AT738" s="9">
        <v>8</v>
      </c>
      <c r="AU738" s="9">
        <v>0</v>
      </c>
      <c r="AV738" s="9">
        <v>13</v>
      </c>
      <c r="AW738" s="9">
        <v>15</v>
      </c>
      <c r="AX738" s="9">
        <v>12</v>
      </c>
      <c r="AY738" s="9">
        <v>0</v>
      </c>
      <c r="AZ738" s="9">
        <v>42</v>
      </c>
    </row>
    <row r="739" spans="2:52">
      <c r="B739" t="str">
        <f t="shared" si="55"/>
        <v>Jul</v>
      </c>
      <c r="C739" s="43">
        <f t="shared" si="56"/>
        <v>46222</v>
      </c>
      <c r="D739" s="44">
        <f t="shared" si="57"/>
        <v>46216</v>
      </c>
      <c r="E739" s="9" t="s">
        <v>46</v>
      </c>
      <c r="F739">
        <f t="shared" si="58"/>
        <v>0</v>
      </c>
      <c r="G739">
        <f t="shared" si="59"/>
        <v>-222</v>
      </c>
      <c r="AJ739" s="40">
        <v>46216</v>
      </c>
      <c r="AK739" s="9" t="s">
        <v>202</v>
      </c>
      <c r="AL739" s="9" t="s">
        <v>46</v>
      </c>
      <c r="AM739" s="9"/>
      <c r="AN739" s="9">
        <v>20</v>
      </c>
      <c r="AO739" s="9">
        <v>0</v>
      </c>
      <c r="AP739" s="9">
        <v>0</v>
      </c>
      <c r="AQ739" s="9">
        <v>13</v>
      </c>
      <c r="AR739" s="9">
        <v>15</v>
      </c>
      <c r="AS739" s="9">
        <v>13</v>
      </c>
      <c r="AT739" s="9">
        <v>0</v>
      </c>
      <c r="AU739" s="9">
        <v>16</v>
      </c>
      <c r="AV739" s="9">
        <v>0</v>
      </c>
      <c r="AW739" s="9">
        <v>6</v>
      </c>
      <c r="AX739" s="9">
        <v>0</v>
      </c>
      <c r="AY739" s="9">
        <v>2</v>
      </c>
      <c r="AZ739" s="9">
        <v>3</v>
      </c>
    </row>
    <row r="740" spans="2:52">
      <c r="B740" t="str">
        <f t="shared" si="55"/>
        <v>Jul</v>
      </c>
      <c r="C740" s="43">
        <f t="shared" si="56"/>
        <v>46222</v>
      </c>
      <c r="D740" s="44">
        <f t="shared" si="57"/>
        <v>46216</v>
      </c>
      <c r="E740" s="9" t="s">
        <v>47</v>
      </c>
      <c r="F740">
        <f t="shared" si="58"/>
        <v>0</v>
      </c>
      <c r="G740">
        <f t="shared" si="59"/>
        <v>0</v>
      </c>
      <c r="AJ740" s="40">
        <v>46216</v>
      </c>
      <c r="AK740" s="9" t="s">
        <v>202</v>
      </c>
      <c r="AL740" s="9" t="s">
        <v>47</v>
      </c>
      <c r="AM740" s="9"/>
      <c r="AN740" s="9">
        <v>0</v>
      </c>
      <c r="AO740" s="9">
        <v>0</v>
      </c>
      <c r="AP740" s="9">
        <v>0</v>
      </c>
      <c r="AQ740" s="9">
        <v>0</v>
      </c>
      <c r="AR740" s="9">
        <v>7</v>
      </c>
      <c r="AS740" s="9">
        <v>12</v>
      </c>
      <c r="AT740" s="9">
        <v>0</v>
      </c>
      <c r="AU740" s="9">
        <v>16</v>
      </c>
      <c r="AV740" s="9">
        <v>0</v>
      </c>
      <c r="AW740" s="9">
        <v>0</v>
      </c>
      <c r="AX740" s="9">
        <v>13</v>
      </c>
      <c r="AY740" s="9">
        <v>12</v>
      </c>
      <c r="AZ740" s="9">
        <v>14</v>
      </c>
    </row>
    <row r="741" spans="2:52">
      <c r="B741" t="str">
        <f t="shared" si="55"/>
        <v>Jul</v>
      </c>
      <c r="C741" s="43">
        <f t="shared" si="56"/>
        <v>46222</v>
      </c>
      <c r="D741" s="44">
        <f t="shared" si="57"/>
        <v>46216</v>
      </c>
      <c r="E741" s="9" t="s">
        <v>206</v>
      </c>
      <c r="F741">
        <f t="shared" si="58"/>
        <v>0</v>
      </c>
      <c r="G741">
        <f t="shared" si="59"/>
        <v>0</v>
      </c>
      <c r="AJ741" s="40">
        <v>46216</v>
      </c>
      <c r="AK741" s="9" t="s">
        <v>43</v>
      </c>
      <c r="AL741" s="9" t="s">
        <v>206</v>
      </c>
      <c r="AM741" s="9"/>
      <c r="AN741" s="9">
        <v>21</v>
      </c>
      <c r="AO741" s="9">
        <v>28</v>
      </c>
      <c r="AP741" s="9">
        <v>10</v>
      </c>
      <c r="AQ741" s="9">
        <v>18</v>
      </c>
      <c r="AR741" s="9">
        <v>24</v>
      </c>
      <c r="AS741" s="9">
        <v>23</v>
      </c>
      <c r="AT741" s="9">
        <v>61</v>
      </c>
      <c r="AU741" s="9">
        <v>56</v>
      </c>
      <c r="AV741" s="9">
        <v>52</v>
      </c>
      <c r="AW741" s="9">
        <v>61</v>
      </c>
      <c r="AX741" s="9">
        <v>67</v>
      </c>
      <c r="AY741" s="9">
        <v>0</v>
      </c>
      <c r="AZ741" s="9">
        <v>0</v>
      </c>
    </row>
    <row r="742" spans="2:52">
      <c r="B742" t="str">
        <f t="shared" si="55"/>
        <v>Jul</v>
      </c>
      <c r="C742" s="43">
        <f t="shared" si="56"/>
        <v>46222</v>
      </c>
      <c r="D742" s="44">
        <f t="shared" si="57"/>
        <v>46216</v>
      </c>
      <c r="E742" s="9" t="s">
        <v>207</v>
      </c>
      <c r="F742">
        <f t="shared" si="58"/>
        <v>0</v>
      </c>
      <c r="G742">
        <f t="shared" si="59"/>
        <v>0</v>
      </c>
      <c r="AJ742" s="40">
        <v>46216</v>
      </c>
      <c r="AK742" s="9" t="s">
        <v>203</v>
      </c>
      <c r="AL742" s="9" t="s">
        <v>207</v>
      </c>
      <c r="AM742" s="9"/>
      <c r="AN742" s="9">
        <v>46</v>
      </c>
      <c r="AO742" s="9">
        <v>30</v>
      </c>
      <c r="AP742" s="9">
        <v>35</v>
      </c>
      <c r="AQ742" s="9">
        <v>27</v>
      </c>
      <c r="AR742" s="9">
        <v>36</v>
      </c>
      <c r="AS742" s="9">
        <v>42</v>
      </c>
      <c r="AT742" s="9">
        <v>47</v>
      </c>
      <c r="AU742" s="9">
        <v>52</v>
      </c>
      <c r="AV742" s="9">
        <v>58</v>
      </c>
      <c r="AW742" s="9">
        <v>54</v>
      </c>
      <c r="AX742" s="9">
        <v>60</v>
      </c>
      <c r="AY742" s="9">
        <v>0</v>
      </c>
      <c r="AZ742" s="9">
        <v>0</v>
      </c>
    </row>
    <row r="743" spans="2:52">
      <c r="B743" t="str">
        <f t="shared" si="55"/>
        <v>Jul</v>
      </c>
      <c r="C743" s="43">
        <f t="shared" si="56"/>
        <v>46222</v>
      </c>
      <c r="D743" s="44">
        <f t="shared" si="57"/>
        <v>46216</v>
      </c>
      <c r="E743" s="9" t="s">
        <v>42</v>
      </c>
      <c r="F743">
        <f t="shared" si="58"/>
        <v>0</v>
      </c>
      <c r="G743">
        <f t="shared" si="59"/>
        <v>4</v>
      </c>
      <c r="AJ743" s="40">
        <v>46216</v>
      </c>
      <c r="AK743" s="9" t="s">
        <v>42</v>
      </c>
      <c r="AL743" s="9" t="s">
        <v>42</v>
      </c>
      <c r="AM743" s="9"/>
      <c r="AN743" s="9">
        <v>98</v>
      </c>
      <c r="AO743" s="9">
        <v>0</v>
      </c>
      <c r="AP743" s="9">
        <v>8</v>
      </c>
      <c r="AQ743" s="9">
        <v>2</v>
      </c>
      <c r="AR743" s="9">
        <v>1</v>
      </c>
      <c r="AS743" s="9">
        <v>0</v>
      </c>
      <c r="AT743" s="9">
        <v>4</v>
      </c>
      <c r="AU743" s="9">
        <v>0</v>
      </c>
      <c r="AV743" s="9">
        <v>0</v>
      </c>
      <c r="AW743" s="9">
        <v>17</v>
      </c>
      <c r="AX743" s="9">
        <v>0</v>
      </c>
      <c r="AY743" s="9">
        <v>0</v>
      </c>
      <c r="AZ743" s="9">
        <v>7</v>
      </c>
    </row>
    <row r="744" spans="2:52">
      <c r="B744" t="str">
        <f t="shared" si="55"/>
        <v>Jul</v>
      </c>
      <c r="C744" s="43">
        <f t="shared" si="56"/>
        <v>46222</v>
      </c>
      <c r="D744" s="44">
        <f t="shared" si="57"/>
        <v>46217</v>
      </c>
      <c r="E744" s="9" t="s">
        <v>31</v>
      </c>
      <c r="F744">
        <f t="shared" si="58"/>
        <v>0</v>
      </c>
      <c r="G744">
        <f t="shared" si="59"/>
        <v>124</v>
      </c>
      <c r="AJ744" s="40">
        <v>46217</v>
      </c>
      <c r="AK744" s="9" t="s">
        <v>204</v>
      </c>
      <c r="AL744" s="9" t="s">
        <v>31</v>
      </c>
      <c r="AM744" s="9"/>
      <c r="AN744" s="9">
        <v>199</v>
      </c>
      <c r="AO744" s="9">
        <v>194</v>
      </c>
      <c r="AP744" s="9">
        <v>0</v>
      </c>
      <c r="AQ744" s="9">
        <v>30</v>
      </c>
      <c r="AR744" s="9">
        <v>43</v>
      </c>
      <c r="AS744" s="9">
        <v>51</v>
      </c>
      <c r="AT744" s="9">
        <v>56</v>
      </c>
      <c r="AU744" s="9">
        <v>77</v>
      </c>
      <c r="AV744" s="9">
        <v>74</v>
      </c>
      <c r="AW744" s="9">
        <v>124</v>
      </c>
      <c r="AX744" s="9">
        <v>109</v>
      </c>
      <c r="AY744" s="9">
        <v>105</v>
      </c>
      <c r="AZ744" s="9">
        <v>124</v>
      </c>
    </row>
    <row r="745" spans="2:52">
      <c r="B745" t="str">
        <f t="shared" si="55"/>
        <v>Jul</v>
      </c>
      <c r="C745" s="43">
        <f t="shared" si="56"/>
        <v>46222</v>
      </c>
      <c r="D745" s="44">
        <f t="shared" si="57"/>
        <v>46217</v>
      </c>
      <c r="E745" s="9" t="s">
        <v>39</v>
      </c>
      <c r="F745">
        <f t="shared" si="58"/>
        <v>0</v>
      </c>
      <c r="G745">
        <f t="shared" si="59"/>
        <v>-212</v>
      </c>
      <c r="AJ745" s="40">
        <v>46217</v>
      </c>
      <c r="AK745" s="9" t="s">
        <v>205</v>
      </c>
      <c r="AL745" s="9" t="s">
        <v>39</v>
      </c>
      <c r="AM745" s="9"/>
      <c r="AN745" s="9">
        <v>134</v>
      </c>
      <c r="AO745" s="9">
        <v>138</v>
      </c>
      <c r="AP745" s="9">
        <v>144</v>
      </c>
      <c r="AQ745" s="9">
        <v>131</v>
      </c>
      <c r="AR745" s="9">
        <v>117</v>
      </c>
      <c r="AS745" s="9">
        <v>108</v>
      </c>
      <c r="AT745" s="9">
        <v>119</v>
      </c>
      <c r="AU745" s="9">
        <v>128</v>
      </c>
      <c r="AV745" s="9">
        <v>0</v>
      </c>
      <c r="AW745" s="9">
        <v>49</v>
      </c>
      <c r="AX745" s="9">
        <v>43</v>
      </c>
      <c r="AY745" s="9">
        <v>29</v>
      </c>
      <c r="AZ745" s="9">
        <v>28</v>
      </c>
    </row>
    <row r="746" spans="2:52">
      <c r="B746" t="str">
        <f t="shared" si="55"/>
        <v>Jul</v>
      </c>
      <c r="C746" s="43">
        <f t="shared" si="56"/>
        <v>46222</v>
      </c>
      <c r="D746" s="44">
        <f t="shared" si="57"/>
        <v>46217</v>
      </c>
      <c r="E746" s="9" t="s">
        <v>40</v>
      </c>
      <c r="F746">
        <f t="shared" si="58"/>
        <v>0</v>
      </c>
      <c r="G746">
        <f t="shared" si="59"/>
        <v>-172</v>
      </c>
      <c r="AJ746" s="40">
        <v>46217</v>
      </c>
      <c r="AK746" s="9" t="s">
        <v>205</v>
      </c>
      <c r="AL746" s="9" t="s">
        <v>40</v>
      </c>
      <c r="AM746" s="9"/>
      <c r="AN746" s="9">
        <v>60</v>
      </c>
      <c r="AO746" s="9">
        <v>57</v>
      </c>
      <c r="AP746" s="9">
        <v>48</v>
      </c>
      <c r="AQ746" s="9">
        <v>46</v>
      </c>
      <c r="AR746" s="9">
        <v>39</v>
      </c>
      <c r="AS746" s="9">
        <v>0</v>
      </c>
      <c r="AT746" s="9">
        <v>13</v>
      </c>
      <c r="AU746" s="9">
        <v>12</v>
      </c>
      <c r="AV746" s="9">
        <v>56</v>
      </c>
      <c r="AW746" s="9">
        <v>47</v>
      </c>
      <c r="AX746" s="9">
        <v>43</v>
      </c>
      <c r="AY746" s="9">
        <v>44</v>
      </c>
      <c r="AZ746" s="9">
        <v>51</v>
      </c>
    </row>
    <row r="747" spans="2:52">
      <c r="B747" t="str">
        <f t="shared" si="55"/>
        <v>Jul</v>
      </c>
      <c r="C747" s="43">
        <f t="shared" si="56"/>
        <v>46222</v>
      </c>
      <c r="D747" s="44">
        <f t="shared" si="57"/>
        <v>46217</v>
      </c>
      <c r="E747" s="9" t="s">
        <v>41</v>
      </c>
      <c r="F747">
        <f t="shared" si="58"/>
        <v>0</v>
      </c>
      <c r="G747">
        <f t="shared" si="59"/>
        <v>-65</v>
      </c>
      <c r="AJ747" s="40">
        <v>46217</v>
      </c>
      <c r="AK747" s="9" t="s">
        <v>41</v>
      </c>
      <c r="AL747" s="9" t="s">
        <v>41</v>
      </c>
      <c r="AM747" s="9"/>
      <c r="AN747" s="9">
        <v>0</v>
      </c>
      <c r="AO747" s="9">
        <v>2</v>
      </c>
      <c r="AP747" s="9">
        <v>0</v>
      </c>
      <c r="AQ747" s="9">
        <v>1</v>
      </c>
      <c r="AR747" s="9">
        <v>3</v>
      </c>
      <c r="AS747" s="9">
        <v>7</v>
      </c>
      <c r="AT747" s="9">
        <v>7</v>
      </c>
      <c r="AU747" s="9">
        <v>0</v>
      </c>
      <c r="AV747" s="9">
        <v>15</v>
      </c>
      <c r="AW747" s="9">
        <v>14</v>
      </c>
      <c r="AX747" s="9">
        <v>15</v>
      </c>
      <c r="AY747" s="9">
        <v>0</v>
      </c>
      <c r="AZ747" s="9">
        <v>6</v>
      </c>
    </row>
    <row r="748" spans="2:52">
      <c r="B748" t="str">
        <f t="shared" si="55"/>
        <v>Jul</v>
      </c>
      <c r="C748" s="43">
        <f t="shared" si="56"/>
        <v>46222</v>
      </c>
      <c r="D748" s="44">
        <f t="shared" si="57"/>
        <v>46217</v>
      </c>
      <c r="E748" s="9" t="s">
        <v>45</v>
      </c>
      <c r="F748">
        <f t="shared" si="58"/>
        <v>0</v>
      </c>
      <c r="G748">
        <f t="shared" si="59"/>
        <v>79</v>
      </c>
      <c r="AJ748" s="40">
        <v>46217</v>
      </c>
      <c r="AK748" s="9" t="s">
        <v>202</v>
      </c>
      <c r="AL748" s="9" t="s">
        <v>45</v>
      </c>
      <c r="AM748" s="9"/>
      <c r="AN748" s="9">
        <v>0</v>
      </c>
      <c r="AO748" s="9">
        <v>7</v>
      </c>
      <c r="AP748" s="9">
        <v>0</v>
      </c>
      <c r="AQ748" s="9">
        <v>0</v>
      </c>
      <c r="AR748" s="9">
        <v>0</v>
      </c>
      <c r="AS748" s="9">
        <v>0</v>
      </c>
      <c r="AT748" s="9">
        <v>10</v>
      </c>
      <c r="AU748" s="9">
        <v>18</v>
      </c>
      <c r="AV748" s="9">
        <v>13</v>
      </c>
      <c r="AW748" s="9">
        <v>68</v>
      </c>
      <c r="AX748" s="9">
        <v>68</v>
      </c>
      <c r="AY748" s="9">
        <v>75</v>
      </c>
      <c r="AZ748" s="9">
        <v>121</v>
      </c>
    </row>
    <row r="749" spans="2:52">
      <c r="B749" t="str">
        <f t="shared" si="55"/>
        <v>Jul</v>
      </c>
      <c r="C749" s="43">
        <f t="shared" si="56"/>
        <v>46222</v>
      </c>
      <c r="D749" s="44">
        <f t="shared" si="57"/>
        <v>46217</v>
      </c>
      <c r="E749" s="9" t="s">
        <v>46</v>
      </c>
      <c r="F749">
        <f t="shared" si="58"/>
        <v>0</v>
      </c>
      <c r="G749">
        <f t="shared" si="59"/>
        <v>-3</v>
      </c>
      <c r="AJ749" s="40">
        <v>46217</v>
      </c>
      <c r="AK749" s="9" t="s">
        <v>202</v>
      </c>
      <c r="AL749" s="9" t="s">
        <v>46</v>
      </c>
      <c r="AM749" s="9"/>
      <c r="AN749" s="9">
        <v>0</v>
      </c>
      <c r="AO749" s="9">
        <v>0</v>
      </c>
      <c r="AP749" s="9">
        <v>5</v>
      </c>
      <c r="AQ749" s="9">
        <v>6</v>
      </c>
      <c r="AR749" s="9">
        <v>10</v>
      </c>
      <c r="AS749" s="9">
        <v>8</v>
      </c>
      <c r="AT749" s="9">
        <v>13</v>
      </c>
      <c r="AU749" s="9">
        <v>45</v>
      </c>
      <c r="AV749" s="9">
        <v>41</v>
      </c>
      <c r="AW749" s="9">
        <v>70</v>
      </c>
      <c r="AX749" s="9">
        <v>71</v>
      </c>
      <c r="AY749" s="9">
        <v>75</v>
      </c>
      <c r="AZ749" s="9">
        <v>0</v>
      </c>
    </row>
    <row r="750" spans="2:52">
      <c r="B750" t="str">
        <f t="shared" si="55"/>
        <v>Jul</v>
      </c>
      <c r="C750" s="43">
        <f t="shared" si="56"/>
        <v>46222</v>
      </c>
      <c r="D750" s="44">
        <f t="shared" si="57"/>
        <v>46217</v>
      </c>
      <c r="E750" s="9" t="s">
        <v>47</v>
      </c>
      <c r="F750">
        <f t="shared" si="58"/>
        <v>0</v>
      </c>
      <c r="G750">
        <f t="shared" si="59"/>
        <v>36</v>
      </c>
      <c r="AJ750" s="40">
        <v>46217</v>
      </c>
      <c r="AK750" s="9" t="s">
        <v>202</v>
      </c>
      <c r="AL750" s="9" t="s">
        <v>47</v>
      </c>
      <c r="AM750" s="9"/>
      <c r="AN750" s="9">
        <v>16</v>
      </c>
      <c r="AO750" s="9">
        <v>15</v>
      </c>
      <c r="AP750" s="9">
        <v>20</v>
      </c>
      <c r="AQ750" s="9">
        <v>18</v>
      </c>
      <c r="AR750" s="9">
        <v>18</v>
      </c>
      <c r="AS750" s="9">
        <v>17</v>
      </c>
      <c r="AT750" s="9">
        <v>22</v>
      </c>
      <c r="AU750" s="9">
        <v>43</v>
      </c>
      <c r="AV750" s="9">
        <v>39</v>
      </c>
      <c r="AW750" s="9">
        <v>56</v>
      </c>
      <c r="AX750" s="9">
        <v>54</v>
      </c>
      <c r="AY750" s="9">
        <v>54</v>
      </c>
      <c r="AZ750" s="9">
        <v>50</v>
      </c>
    </row>
    <row r="751" spans="2:52">
      <c r="B751" t="str">
        <f t="shared" si="55"/>
        <v>Jul</v>
      </c>
      <c r="C751" s="43">
        <f t="shared" si="56"/>
        <v>46222</v>
      </c>
      <c r="D751" s="44">
        <f t="shared" si="57"/>
        <v>46217</v>
      </c>
      <c r="E751" s="9" t="s">
        <v>206</v>
      </c>
      <c r="F751">
        <f t="shared" si="58"/>
        <v>0</v>
      </c>
      <c r="G751">
        <f t="shared" si="59"/>
        <v>7</v>
      </c>
      <c r="AJ751" s="40">
        <v>46217</v>
      </c>
      <c r="AK751" s="9" t="s">
        <v>43</v>
      </c>
      <c r="AL751" s="9" t="s">
        <v>206</v>
      </c>
      <c r="AM751" s="9"/>
      <c r="AN751" s="9">
        <v>45</v>
      </c>
      <c r="AO751" s="9">
        <v>0</v>
      </c>
      <c r="AP751" s="9">
        <v>0</v>
      </c>
      <c r="AQ751" s="9">
        <v>31</v>
      </c>
      <c r="AR751" s="9">
        <v>32</v>
      </c>
      <c r="AS751" s="9">
        <v>34</v>
      </c>
      <c r="AT751" s="9">
        <v>40</v>
      </c>
      <c r="AU751" s="9">
        <v>50</v>
      </c>
      <c r="AV751" s="9">
        <v>52</v>
      </c>
      <c r="AW751" s="9">
        <v>45</v>
      </c>
      <c r="AX751" s="9">
        <v>43</v>
      </c>
      <c r="AY751" s="9">
        <v>0</v>
      </c>
      <c r="AZ751" s="9">
        <v>7</v>
      </c>
    </row>
    <row r="752" spans="2:52">
      <c r="B752" t="str">
        <f t="shared" si="55"/>
        <v>Jul</v>
      </c>
      <c r="C752" s="43">
        <f t="shared" si="56"/>
        <v>46222</v>
      </c>
      <c r="D752" s="44">
        <f t="shared" si="57"/>
        <v>46217</v>
      </c>
      <c r="E752" s="9" t="s">
        <v>207</v>
      </c>
      <c r="F752">
        <f t="shared" si="58"/>
        <v>0</v>
      </c>
      <c r="G752">
        <f t="shared" si="59"/>
        <v>33</v>
      </c>
      <c r="AJ752" s="40">
        <v>46217</v>
      </c>
      <c r="AK752" s="9" t="s">
        <v>203</v>
      </c>
      <c r="AL752" s="9" t="s">
        <v>207</v>
      </c>
      <c r="AM752" s="9"/>
      <c r="AN752" s="9">
        <v>44</v>
      </c>
      <c r="AO752" s="9">
        <v>39</v>
      </c>
      <c r="AP752" s="9">
        <v>35</v>
      </c>
      <c r="AQ752" s="9">
        <v>0</v>
      </c>
      <c r="AR752" s="9">
        <v>21</v>
      </c>
      <c r="AS752" s="9">
        <v>17</v>
      </c>
      <c r="AT752" s="9">
        <v>21</v>
      </c>
      <c r="AU752" s="9">
        <v>19</v>
      </c>
      <c r="AV752" s="9">
        <v>19</v>
      </c>
      <c r="AW752" s="9">
        <v>83</v>
      </c>
      <c r="AX752" s="9">
        <v>0</v>
      </c>
      <c r="AY752" s="9">
        <v>10</v>
      </c>
      <c r="AZ752" s="9">
        <v>33</v>
      </c>
    </row>
    <row r="753" spans="2:52">
      <c r="B753" t="str">
        <f t="shared" si="55"/>
        <v>Jul</v>
      </c>
      <c r="C753" s="43">
        <f t="shared" si="56"/>
        <v>46222</v>
      </c>
      <c r="D753" s="44">
        <f t="shared" si="57"/>
        <v>46217</v>
      </c>
      <c r="E753" s="9" t="s">
        <v>42</v>
      </c>
      <c r="F753">
        <f t="shared" si="58"/>
        <v>0</v>
      </c>
      <c r="G753">
        <f t="shared" si="59"/>
        <v>9</v>
      </c>
      <c r="AJ753" s="40">
        <v>46217</v>
      </c>
      <c r="AK753" s="9" t="s">
        <v>42</v>
      </c>
      <c r="AL753" s="9" t="s">
        <v>42</v>
      </c>
      <c r="AM753" s="9"/>
      <c r="AN753" s="9">
        <v>24</v>
      </c>
      <c r="AO753" s="9">
        <v>24</v>
      </c>
      <c r="AP753" s="9">
        <v>30</v>
      </c>
      <c r="AQ753" s="9">
        <v>37</v>
      </c>
      <c r="AR753" s="9">
        <v>0</v>
      </c>
      <c r="AS753" s="9">
        <v>11</v>
      </c>
      <c r="AT753" s="9">
        <v>9</v>
      </c>
      <c r="AU753" s="9">
        <v>10</v>
      </c>
      <c r="AV753" s="9">
        <v>14</v>
      </c>
      <c r="AW753" s="9">
        <v>0</v>
      </c>
      <c r="AX753" s="9">
        <v>0</v>
      </c>
      <c r="AY753" s="9">
        <v>0</v>
      </c>
      <c r="AZ753" s="9">
        <v>16</v>
      </c>
    </row>
    <row r="754" spans="2:52">
      <c r="B754" t="str">
        <f t="shared" si="55"/>
        <v>Jul</v>
      </c>
      <c r="C754" s="43">
        <f t="shared" si="56"/>
        <v>46222</v>
      </c>
      <c r="D754" s="44">
        <f t="shared" si="57"/>
        <v>46218</v>
      </c>
      <c r="E754" s="9" t="s">
        <v>31</v>
      </c>
      <c r="F754">
        <f t="shared" si="58"/>
        <v>0</v>
      </c>
      <c r="G754">
        <f t="shared" si="59"/>
        <v>-7</v>
      </c>
      <c r="AJ754" s="40">
        <v>46218</v>
      </c>
      <c r="AK754" s="9" t="s">
        <v>204</v>
      </c>
      <c r="AL754" s="9" t="s">
        <v>31</v>
      </c>
      <c r="AM754" s="9"/>
      <c r="AN754" s="9">
        <v>126</v>
      </c>
      <c r="AO754" s="9">
        <v>0</v>
      </c>
      <c r="AP754" s="9">
        <v>40</v>
      </c>
      <c r="AQ754" s="9">
        <v>29</v>
      </c>
      <c r="AR754" s="9">
        <v>41</v>
      </c>
      <c r="AS754" s="9">
        <v>43</v>
      </c>
      <c r="AT754" s="9">
        <v>64</v>
      </c>
      <c r="AU754" s="9">
        <v>65</v>
      </c>
      <c r="AV754" s="9">
        <v>79</v>
      </c>
      <c r="AW754" s="9">
        <v>95</v>
      </c>
      <c r="AX754" s="9">
        <v>93</v>
      </c>
      <c r="AY754" s="9">
        <v>112</v>
      </c>
      <c r="AZ754" s="9">
        <v>117</v>
      </c>
    </row>
    <row r="755" spans="2:52">
      <c r="B755" t="str">
        <f t="shared" si="55"/>
        <v>Jul</v>
      </c>
      <c r="C755" s="43">
        <f t="shared" si="56"/>
        <v>46222</v>
      </c>
      <c r="D755" s="44">
        <f t="shared" si="57"/>
        <v>46218</v>
      </c>
      <c r="E755" s="9" t="s">
        <v>39</v>
      </c>
      <c r="F755">
        <f t="shared" si="58"/>
        <v>0</v>
      </c>
      <c r="G755">
        <f t="shared" si="59"/>
        <v>79</v>
      </c>
      <c r="AJ755" s="40">
        <v>46218</v>
      </c>
      <c r="AK755" s="9" t="s">
        <v>205</v>
      </c>
      <c r="AL755" s="9" t="s">
        <v>39</v>
      </c>
      <c r="AM755" s="9"/>
      <c r="AN755" s="9">
        <v>21</v>
      </c>
      <c r="AO755" s="9">
        <v>32</v>
      </c>
      <c r="AP755" s="9">
        <v>36</v>
      </c>
      <c r="AQ755" s="9">
        <v>0</v>
      </c>
      <c r="AR755" s="9">
        <v>0</v>
      </c>
      <c r="AS755" s="9">
        <v>37</v>
      </c>
      <c r="AT755" s="9">
        <v>51</v>
      </c>
      <c r="AU755" s="9">
        <v>50</v>
      </c>
      <c r="AV755" s="9">
        <v>95</v>
      </c>
      <c r="AW755" s="9">
        <v>106</v>
      </c>
      <c r="AX755" s="9">
        <v>99</v>
      </c>
      <c r="AY755" s="9">
        <v>90</v>
      </c>
      <c r="AZ755" s="9">
        <v>107</v>
      </c>
    </row>
    <row r="756" spans="2:52">
      <c r="B756" t="str">
        <f t="shared" si="55"/>
        <v>Jul</v>
      </c>
      <c r="C756" s="43">
        <f t="shared" si="56"/>
        <v>46222</v>
      </c>
      <c r="D756" s="44">
        <f t="shared" si="57"/>
        <v>46218</v>
      </c>
      <c r="E756" s="9" t="s">
        <v>40</v>
      </c>
      <c r="F756">
        <f t="shared" si="58"/>
        <v>0</v>
      </c>
      <c r="G756">
        <f t="shared" si="59"/>
        <v>48</v>
      </c>
      <c r="AJ756" s="40">
        <v>46218</v>
      </c>
      <c r="AK756" s="9" t="s">
        <v>205</v>
      </c>
      <c r="AL756" s="9" t="s">
        <v>40</v>
      </c>
      <c r="AM756" s="9"/>
      <c r="AN756" s="9">
        <v>72</v>
      </c>
      <c r="AO756" s="9">
        <v>62</v>
      </c>
      <c r="AP756" s="9">
        <v>28</v>
      </c>
      <c r="AQ756" s="9">
        <v>36</v>
      </c>
      <c r="AR756" s="9">
        <v>48</v>
      </c>
      <c r="AS756" s="9">
        <v>57</v>
      </c>
      <c r="AT756" s="9">
        <v>61</v>
      </c>
      <c r="AU756" s="9">
        <v>102</v>
      </c>
      <c r="AV756" s="9">
        <v>105</v>
      </c>
      <c r="AW756" s="9">
        <v>100</v>
      </c>
      <c r="AX756" s="9">
        <v>106</v>
      </c>
      <c r="AY756" s="9">
        <v>102</v>
      </c>
      <c r="AZ756" s="9">
        <v>99</v>
      </c>
    </row>
    <row r="757" spans="2:52">
      <c r="B757" t="str">
        <f t="shared" si="55"/>
        <v>Jul</v>
      </c>
      <c r="C757" s="43">
        <f t="shared" si="56"/>
        <v>46222</v>
      </c>
      <c r="D757" s="44">
        <f t="shared" si="57"/>
        <v>46218</v>
      </c>
      <c r="E757" s="9" t="s">
        <v>41</v>
      </c>
      <c r="F757">
        <f t="shared" si="58"/>
        <v>0</v>
      </c>
      <c r="G757">
        <f t="shared" si="59"/>
        <v>-6</v>
      </c>
      <c r="AJ757" s="40">
        <v>46218</v>
      </c>
      <c r="AK757" s="9" t="s">
        <v>41</v>
      </c>
      <c r="AL757" s="9" t="s">
        <v>41</v>
      </c>
      <c r="AM757" s="9"/>
      <c r="AN757" s="9">
        <v>35</v>
      </c>
      <c r="AO757" s="9">
        <v>31</v>
      </c>
      <c r="AP757" s="9">
        <v>36</v>
      </c>
      <c r="AQ757" s="9">
        <v>0</v>
      </c>
      <c r="AR757" s="9">
        <v>0</v>
      </c>
      <c r="AS757" s="9">
        <v>5</v>
      </c>
      <c r="AT757" s="9">
        <v>8</v>
      </c>
      <c r="AU757" s="9">
        <v>9</v>
      </c>
      <c r="AV757" s="9">
        <v>0</v>
      </c>
      <c r="AW757" s="9">
        <v>9</v>
      </c>
      <c r="AX757" s="9">
        <v>5</v>
      </c>
      <c r="AY757" s="9">
        <v>1</v>
      </c>
      <c r="AZ757" s="9">
        <v>0</v>
      </c>
    </row>
    <row r="758" spans="2:52">
      <c r="B758" t="str">
        <f t="shared" si="55"/>
        <v>Jul</v>
      </c>
      <c r="C758" s="43">
        <f t="shared" si="56"/>
        <v>46222</v>
      </c>
      <c r="D758" s="44">
        <f t="shared" si="57"/>
        <v>46218</v>
      </c>
      <c r="E758" s="9" t="s">
        <v>45</v>
      </c>
      <c r="F758">
        <f t="shared" si="58"/>
        <v>0</v>
      </c>
      <c r="G758">
        <f t="shared" si="59"/>
        <v>-104</v>
      </c>
      <c r="AJ758" s="40">
        <v>46218</v>
      </c>
      <c r="AK758" s="9" t="s">
        <v>202</v>
      </c>
      <c r="AL758" s="9" t="s">
        <v>45</v>
      </c>
      <c r="AM758" s="9"/>
      <c r="AN758" s="9">
        <v>21</v>
      </c>
      <c r="AO758" s="9">
        <v>14</v>
      </c>
      <c r="AP758" s="9">
        <v>0</v>
      </c>
      <c r="AQ758" s="9">
        <v>16</v>
      </c>
      <c r="AR758" s="9">
        <v>11</v>
      </c>
      <c r="AS758" s="9">
        <v>8</v>
      </c>
      <c r="AT758" s="9">
        <v>0</v>
      </c>
      <c r="AU758" s="9">
        <v>19</v>
      </c>
      <c r="AV758" s="9">
        <v>0</v>
      </c>
      <c r="AW758" s="9">
        <v>10</v>
      </c>
      <c r="AX758" s="9">
        <v>6</v>
      </c>
      <c r="AY758" s="9">
        <v>0</v>
      </c>
      <c r="AZ758" s="9">
        <v>17</v>
      </c>
    </row>
    <row r="759" spans="2:52">
      <c r="B759" t="str">
        <f t="shared" si="55"/>
        <v>Jul</v>
      </c>
      <c r="C759" s="43">
        <f t="shared" si="56"/>
        <v>46222</v>
      </c>
      <c r="D759" s="44">
        <f t="shared" si="57"/>
        <v>46218</v>
      </c>
      <c r="E759" s="9" t="s">
        <v>46</v>
      </c>
      <c r="F759">
        <f t="shared" si="58"/>
        <v>0</v>
      </c>
      <c r="G759">
        <f t="shared" si="59"/>
        <v>30</v>
      </c>
      <c r="AJ759" s="40">
        <v>46218</v>
      </c>
      <c r="AK759" s="9" t="s">
        <v>202</v>
      </c>
      <c r="AL759" s="9" t="s">
        <v>46</v>
      </c>
      <c r="AM759" s="9"/>
      <c r="AN759" s="9">
        <v>29</v>
      </c>
      <c r="AO759" s="9">
        <v>31</v>
      </c>
      <c r="AP759" s="9">
        <v>32</v>
      </c>
      <c r="AQ759" s="9">
        <v>30</v>
      </c>
      <c r="AR759" s="9">
        <v>31</v>
      </c>
      <c r="AS759" s="9">
        <v>0</v>
      </c>
      <c r="AT759" s="9">
        <v>0</v>
      </c>
      <c r="AU759" s="9">
        <v>1</v>
      </c>
      <c r="AV759" s="9">
        <v>1</v>
      </c>
      <c r="AW759" s="9">
        <v>0</v>
      </c>
      <c r="AX759" s="9">
        <v>12</v>
      </c>
      <c r="AY759" s="9">
        <v>10</v>
      </c>
      <c r="AZ759" s="9">
        <v>30</v>
      </c>
    </row>
    <row r="760" spans="2:52">
      <c r="B760" t="str">
        <f t="shared" si="55"/>
        <v>Jul</v>
      </c>
      <c r="C760" s="43">
        <f t="shared" si="56"/>
        <v>46222</v>
      </c>
      <c r="D760" s="44">
        <f t="shared" si="57"/>
        <v>46218</v>
      </c>
      <c r="E760" s="9" t="s">
        <v>47</v>
      </c>
      <c r="F760">
        <f t="shared" si="58"/>
        <v>0</v>
      </c>
      <c r="G760">
        <f t="shared" si="59"/>
        <v>-12</v>
      </c>
      <c r="AJ760" s="40">
        <v>46218</v>
      </c>
      <c r="AK760" s="9" t="s">
        <v>202</v>
      </c>
      <c r="AL760" s="9" t="s">
        <v>47</v>
      </c>
      <c r="AM760" s="9"/>
      <c r="AN760" s="9">
        <v>23</v>
      </c>
      <c r="AO760" s="9">
        <v>26</v>
      </c>
      <c r="AP760" s="9">
        <v>31</v>
      </c>
      <c r="AQ760" s="9">
        <v>52</v>
      </c>
      <c r="AR760" s="9">
        <v>53</v>
      </c>
      <c r="AS760" s="9">
        <v>49</v>
      </c>
      <c r="AT760" s="9">
        <v>0</v>
      </c>
      <c r="AU760" s="9">
        <v>11</v>
      </c>
      <c r="AV760" s="9">
        <v>13</v>
      </c>
      <c r="AW760" s="9">
        <v>18</v>
      </c>
      <c r="AX760" s="9">
        <v>17</v>
      </c>
      <c r="AY760" s="9">
        <v>13</v>
      </c>
      <c r="AZ760" s="9">
        <v>38</v>
      </c>
    </row>
    <row r="761" spans="2:52">
      <c r="B761" t="str">
        <f t="shared" si="55"/>
        <v>Jul</v>
      </c>
      <c r="C761" s="43">
        <f t="shared" si="56"/>
        <v>46222</v>
      </c>
      <c r="D761" s="44">
        <f t="shared" si="57"/>
        <v>46218</v>
      </c>
      <c r="E761" s="9" t="s">
        <v>206</v>
      </c>
      <c r="F761">
        <f t="shared" si="58"/>
        <v>0</v>
      </c>
      <c r="G761">
        <f t="shared" si="59"/>
        <v>21</v>
      </c>
      <c r="AJ761" s="40">
        <v>46218</v>
      </c>
      <c r="AK761" s="9" t="s">
        <v>43</v>
      </c>
      <c r="AL761" s="9" t="s">
        <v>206</v>
      </c>
      <c r="AM761" s="9"/>
      <c r="AN761" s="9">
        <v>18</v>
      </c>
      <c r="AO761" s="9">
        <v>24</v>
      </c>
      <c r="AP761" s="9">
        <v>33</v>
      </c>
      <c r="AQ761" s="9">
        <v>57</v>
      </c>
      <c r="AR761" s="9">
        <v>67</v>
      </c>
      <c r="AS761" s="9">
        <v>15</v>
      </c>
      <c r="AT761" s="9">
        <v>0</v>
      </c>
      <c r="AU761" s="9">
        <v>0</v>
      </c>
      <c r="AV761" s="9">
        <v>0</v>
      </c>
      <c r="AW761" s="9">
        <v>0</v>
      </c>
      <c r="AX761" s="9">
        <v>3</v>
      </c>
      <c r="AY761" s="9">
        <v>10</v>
      </c>
      <c r="AZ761" s="9">
        <v>28</v>
      </c>
    </row>
    <row r="762" spans="2:52">
      <c r="B762" t="str">
        <f t="shared" si="55"/>
        <v>Jul</v>
      </c>
      <c r="C762" s="43">
        <f t="shared" si="56"/>
        <v>46222</v>
      </c>
      <c r="D762" s="44">
        <f t="shared" si="57"/>
        <v>46218</v>
      </c>
      <c r="E762" s="9" t="s">
        <v>207</v>
      </c>
      <c r="F762">
        <f t="shared" si="58"/>
        <v>0</v>
      </c>
      <c r="G762">
        <f t="shared" si="59"/>
        <v>39</v>
      </c>
      <c r="AJ762" s="40">
        <v>46218</v>
      </c>
      <c r="AK762" s="9" t="s">
        <v>203</v>
      </c>
      <c r="AL762" s="9" t="s">
        <v>207</v>
      </c>
      <c r="AM762" s="9"/>
      <c r="AN762" s="9">
        <v>42</v>
      </c>
      <c r="AO762" s="9">
        <v>0</v>
      </c>
      <c r="AP762" s="9">
        <v>1</v>
      </c>
      <c r="AQ762" s="9">
        <v>63</v>
      </c>
      <c r="AR762" s="9">
        <v>55</v>
      </c>
      <c r="AS762" s="9">
        <v>0</v>
      </c>
      <c r="AT762" s="9">
        <v>7</v>
      </c>
      <c r="AU762" s="9">
        <v>3</v>
      </c>
      <c r="AV762" s="9">
        <v>9</v>
      </c>
      <c r="AW762" s="9">
        <v>13</v>
      </c>
      <c r="AX762" s="9">
        <v>22</v>
      </c>
      <c r="AY762" s="9">
        <v>68</v>
      </c>
      <c r="AZ762" s="9">
        <v>72</v>
      </c>
    </row>
    <row r="763" spans="2:52">
      <c r="B763" t="str">
        <f t="shared" si="55"/>
        <v>Jul</v>
      </c>
      <c r="C763" s="43">
        <f t="shared" si="56"/>
        <v>46222</v>
      </c>
      <c r="D763" s="44">
        <f t="shared" si="57"/>
        <v>46218</v>
      </c>
      <c r="E763" s="9" t="s">
        <v>42</v>
      </c>
      <c r="F763">
        <f t="shared" si="58"/>
        <v>0</v>
      </c>
      <c r="G763">
        <f t="shared" si="59"/>
        <v>45</v>
      </c>
      <c r="AJ763" s="40">
        <v>46218</v>
      </c>
      <c r="AK763" s="9" t="s">
        <v>42</v>
      </c>
      <c r="AL763" s="9" t="s">
        <v>42</v>
      </c>
      <c r="AM763" s="9"/>
      <c r="AN763" s="9">
        <v>49</v>
      </c>
      <c r="AO763" s="9">
        <v>32</v>
      </c>
      <c r="AP763" s="9">
        <v>36</v>
      </c>
      <c r="AQ763" s="9">
        <v>43</v>
      </c>
      <c r="AR763" s="9">
        <v>0</v>
      </c>
      <c r="AS763" s="9">
        <v>0</v>
      </c>
      <c r="AT763" s="9">
        <v>0</v>
      </c>
      <c r="AU763" s="9">
        <v>8</v>
      </c>
      <c r="AV763" s="9">
        <v>0</v>
      </c>
      <c r="AW763" s="9">
        <v>7</v>
      </c>
      <c r="AX763" s="9">
        <v>10</v>
      </c>
      <c r="AY763" s="9">
        <v>0</v>
      </c>
      <c r="AZ763" s="9">
        <v>61</v>
      </c>
    </row>
    <row r="764" spans="2:52">
      <c r="B764" t="str">
        <f t="shared" si="55"/>
        <v>Jul</v>
      </c>
      <c r="C764" s="43">
        <f t="shared" si="56"/>
        <v>46222</v>
      </c>
      <c r="D764" s="44">
        <f t="shared" si="57"/>
        <v>46219</v>
      </c>
      <c r="E764" s="9" t="s">
        <v>31</v>
      </c>
      <c r="F764">
        <f t="shared" si="58"/>
        <v>0</v>
      </c>
      <c r="G764">
        <f t="shared" si="59"/>
        <v>-102</v>
      </c>
      <c r="AJ764" s="40">
        <v>46219</v>
      </c>
      <c r="AK764" s="9" t="s">
        <v>204</v>
      </c>
      <c r="AL764" s="9" t="s">
        <v>31</v>
      </c>
      <c r="AM764" s="9"/>
      <c r="AN764" s="9">
        <v>99</v>
      </c>
      <c r="AO764" s="9">
        <v>89</v>
      </c>
      <c r="AP764" s="9">
        <v>95</v>
      </c>
      <c r="AQ764" s="9">
        <v>79</v>
      </c>
      <c r="AR764" s="9">
        <v>94</v>
      </c>
      <c r="AS764" s="9">
        <v>86</v>
      </c>
      <c r="AT764" s="9">
        <v>69</v>
      </c>
      <c r="AU764" s="9">
        <v>86</v>
      </c>
      <c r="AV764" s="9">
        <v>92</v>
      </c>
      <c r="AW764" s="9">
        <v>0</v>
      </c>
      <c r="AX764" s="9">
        <v>57</v>
      </c>
      <c r="AY764" s="9">
        <v>51</v>
      </c>
      <c r="AZ764" s="9">
        <v>15</v>
      </c>
    </row>
    <row r="765" spans="2:52">
      <c r="B765" t="str">
        <f t="shared" si="55"/>
        <v>Jul</v>
      </c>
      <c r="C765" s="43">
        <f t="shared" si="56"/>
        <v>46222</v>
      </c>
      <c r="D765" s="44">
        <f t="shared" si="57"/>
        <v>46219</v>
      </c>
      <c r="E765" s="9" t="s">
        <v>39</v>
      </c>
      <c r="F765">
        <f t="shared" si="58"/>
        <v>0</v>
      </c>
      <c r="G765">
        <f t="shared" si="59"/>
        <v>71</v>
      </c>
      <c r="AJ765" s="40">
        <v>46219</v>
      </c>
      <c r="AK765" s="9" t="s">
        <v>205</v>
      </c>
      <c r="AL765" s="9" t="s">
        <v>39</v>
      </c>
      <c r="AM765" s="9"/>
      <c r="AN765" s="9">
        <v>109</v>
      </c>
      <c r="AO765" s="9">
        <v>100</v>
      </c>
      <c r="AP765" s="9">
        <v>103</v>
      </c>
      <c r="AQ765" s="9">
        <v>168</v>
      </c>
      <c r="AR765" s="9">
        <v>133</v>
      </c>
      <c r="AS765" s="9">
        <v>186</v>
      </c>
      <c r="AT765" s="9">
        <v>191</v>
      </c>
      <c r="AU765" s="9">
        <v>158</v>
      </c>
      <c r="AV765" s="9">
        <v>171</v>
      </c>
      <c r="AW765" s="9">
        <v>163</v>
      </c>
      <c r="AX765" s="9">
        <v>149</v>
      </c>
      <c r="AY765" s="9">
        <v>179</v>
      </c>
      <c r="AZ765" s="9">
        <v>178</v>
      </c>
    </row>
    <row r="766" spans="2:52">
      <c r="B766" t="str">
        <f t="shared" si="55"/>
        <v>Jul</v>
      </c>
      <c r="C766" s="43">
        <f t="shared" si="56"/>
        <v>46222</v>
      </c>
      <c r="D766" s="44">
        <f t="shared" si="57"/>
        <v>46219</v>
      </c>
      <c r="E766" s="9" t="s">
        <v>40</v>
      </c>
      <c r="F766">
        <f t="shared" si="58"/>
        <v>0</v>
      </c>
      <c r="G766">
        <f t="shared" si="59"/>
        <v>16</v>
      </c>
      <c r="AJ766" s="40">
        <v>46219</v>
      </c>
      <c r="AK766" s="9" t="s">
        <v>205</v>
      </c>
      <c r="AL766" s="9" t="s">
        <v>40</v>
      </c>
      <c r="AM766" s="9"/>
      <c r="AN766" s="9">
        <v>15</v>
      </c>
      <c r="AO766" s="9">
        <v>15</v>
      </c>
      <c r="AP766" s="9">
        <v>12</v>
      </c>
      <c r="AQ766" s="9">
        <v>3</v>
      </c>
      <c r="AR766" s="9">
        <v>11</v>
      </c>
      <c r="AS766" s="9">
        <v>8</v>
      </c>
      <c r="AT766" s="9">
        <v>0</v>
      </c>
      <c r="AU766" s="9">
        <v>38</v>
      </c>
      <c r="AV766" s="9">
        <v>9</v>
      </c>
      <c r="AW766" s="9">
        <v>12</v>
      </c>
      <c r="AX766" s="9">
        <v>19</v>
      </c>
      <c r="AY766" s="9">
        <v>52</v>
      </c>
      <c r="AZ766" s="9">
        <v>115</v>
      </c>
    </row>
    <row r="767" spans="2:52">
      <c r="B767" t="str">
        <f t="shared" si="55"/>
        <v>Jul</v>
      </c>
      <c r="C767" s="43">
        <f t="shared" si="56"/>
        <v>46222</v>
      </c>
      <c r="D767" s="44">
        <f t="shared" si="57"/>
        <v>46219</v>
      </c>
      <c r="E767" s="9" t="s">
        <v>41</v>
      </c>
      <c r="F767">
        <f t="shared" si="58"/>
        <v>0</v>
      </c>
      <c r="G767">
        <f t="shared" si="59"/>
        <v>76</v>
      </c>
      <c r="AJ767" s="40">
        <v>46219</v>
      </c>
      <c r="AK767" s="9" t="s">
        <v>41</v>
      </c>
      <c r="AL767" s="9" t="s">
        <v>41</v>
      </c>
      <c r="AM767" s="9"/>
      <c r="AN767" s="9">
        <v>11</v>
      </c>
      <c r="AO767" s="9">
        <v>16</v>
      </c>
      <c r="AP767" s="9">
        <v>12</v>
      </c>
      <c r="AQ767" s="9">
        <v>10</v>
      </c>
      <c r="AR767" s="9">
        <v>7</v>
      </c>
      <c r="AS767" s="9">
        <v>8</v>
      </c>
      <c r="AT767" s="9">
        <v>12</v>
      </c>
      <c r="AU767" s="9">
        <v>16</v>
      </c>
      <c r="AV767" s="9">
        <v>21</v>
      </c>
      <c r="AW767" s="9">
        <v>23</v>
      </c>
      <c r="AX767" s="9">
        <v>26</v>
      </c>
      <c r="AY767" s="9">
        <v>75</v>
      </c>
      <c r="AZ767" s="9">
        <v>76</v>
      </c>
    </row>
    <row r="768" spans="2:52">
      <c r="B768" t="str">
        <f t="shared" si="55"/>
        <v>Jul</v>
      </c>
      <c r="C768" s="43">
        <f t="shared" si="56"/>
        <v>46222</v>
      </c>
      <c r="D768" s="44">
        <f t="shared" si="57"/>
        <v>46219</v>
      </c>
      <c r="E768" s="9" t="s">
        <v>45</v>
      </c>
      <c r="F768">
        <f t="shared" si="58"/>
        <v>0</v>
      </c>
      <c r="G768">
        <f t="shared" si="59"/>
        <v>-5</v>
      </c>
      <c r="AJ768" s="40">
        <v>46219</v>
      </c>
      <c r="AK768" s="9" t="s">
        <v>202</v>
      </c>
      <c r="AL768" s="9" t="s">
        <v>45</v>
      </c>
      <c r="AM768" s="9"/>
      <c r="AN768" s="9">
        <v>0</v>
      </c>
      <c r="AO768" s="9">
        <v>0</v>
      </c>
      <c r="AP768" s="9">
        <v>21</v>
      </c>
      <c r="AQ768" s="9">
        <v>27</v>
      </c>
      <c r="AR768" s="9">
        <v>0</v>
      </c>
      <c r="AS768" s="9">
        <v>6</v>
      </c>
      <c r="AT768" s="9">
        <v>4</v>
      </c>
      <c r="AU768" s="9">
        <v>10</v>
      </c>
      <c r="AV768" s="9">
        <v>3</v>
      </c>
      <c r="AW768" s="9">
        <v>2</v>
      </c>
      <c r="AX768" s="9">
        <v>10</v>
      </c>
      <c r="AY768" s="9">
        <v>5</v>
      </c>
      <c r="AZ768" s="9">
        <v>12</v>
      </c>
    </row>
    <row r="769" spans="2:52">
      <c r="B769" t="str">
        <f t="shared" si="55"/>
        <v>Jul</v>
      </c>
      <c r="C769" s="43">
        <f t="shared" si="56"/>
        <v>46222</v>
      </c>
      <c r="D769" s="44">
        <f t="shared" si="57"/>
        <v>46219</v>
      </c>
      <c r="E769" s="9" t="s">
        <v>46</v>
      </c>
      <c r="F769">
        <f t="shared" si="58"/>
        <v>0</v>
      </c>
      <c r="G769">
        <f t="shared" si="59"/>
        <v>55</v>
      </c>
      <c r="AJ769" s="40">
        <v>46219</v>
      </c>
      <c r="AK769" s="9" t="s">
        <v>202</v>
      </c>
      <c r="AL769" s="9" t="s">
        <v>46</v>
      </c>
      <c r="AM769" s="9"/>
      <c r="AN769" s="9">
        <v>27</v>
      </c>
      <c r="AO769" s="9">
        <v>28</v>
      </c>
      <c r="AP769" s="9">
        <v>0</v>
      </c>
      <c r="AQ769" s="9">
        <v>0</v>
      </c>
      <c r="AR769" s="9">
        <v>0</v>
      </c>
      <c r="AS769" s="9">
        <v>16</v>
      </c>
      <c r="AT769" s="9">
        <v>0</v>
      </c>
      <c r="AU769" s="9">
        <v>0</v>
      </c>
      <c r="AV769" s="9">
        <v>40</v>
      </c>
      <c r="AW769" s="9">
        <v>36</v>
      </c>
      <c r="AX769" s="9">
        <v>37</v>
      </c>
      <c r="AY769" s="9">
        <v>35</v>
      </c>
      <c r="AZ769" s="9">
        <v>85</v>
      </c>
    </row>
    <row r="770" spans="2:52">
      <c r="B770" t="str">
        <f t="shared" si="55"/>
        <v>Jul</v>
      </c>
      <c r="C770" s="43">
        <f t="shared" si="56"/>
        <v>46222</v>
      </c>
      <c r="D770" s="44">
        <f t="shared" si="57"/>
        <v>46219</v>
      </c>
      <c r="E770" s="9" t="s">
        <v>47</v>
      </c>
      <c r="F770">
        <f t="shared" si="58"/>
        <v>0</v>
      </c>
      <c r="G770">
        <f t="shared" si="59"/>
        <v>-38</v>
      </c>
      <c r="AJ770" s="40">
        <v>46219</v>
      </c>
      <c r="AK770" s="9" t="s">
        <v>202</v>
      </c>
      <c r="AL770" s="9" t="s">
        <v>47</v>
      </c>
      <c r="AM770" s="9"/>
      <c r="AN770" s="9">
        <v>30</v>
      </c>
      <c r="AO770" s="9">
        <v>30</v>
      </c>
      <c r="AP770" s="9">
        <v>26</v>
      </c>
      <c r="AQ770" s="9">
        <v>0</v>
      </c>
      <c r="AR770" s="9">
        <v>2</v>
      </c>
      <c r="AS770" s="9">
        <v>4</v>
      </c>
      <c r="AT770" s="9">
        <v>0</v>
      </c>
      <c r="AU770" s="9">
        <v>0</v>
      </c>
      <c r="AV770" s="9">
        <v>2</v>
      </c>
      <c r="AW770" s="9">
        <v>0</v>
      </c>
      <c r="AX770" s="9">
        <v>0</v>
      </c>
      <c r="AY770" s="9">
        <v>11</v>
      </c>
      <c r="AZ770" s="9">
        <v>0</v>
      </c>
    </row>
    <row r="771" spans="2:52">
      <c r="B771" t="str">
        <f t="shared" si="55"/>
        <v>Jul</v>
      </c>
      <c r="C771" s="43">
        <f t="shared" si="56"/>
        <v>46222</v>
      </c>
      <c r="D771" s="44">
        <f t="shared" si="57"/>
        <v>46219</v>
      </c>
      <c r="E771" s="9" t="s">
        <v>206</v>
      </c>
      <c r="F771">
        <f t="shared" si="58"/>
        <v>0</v>
      </c>
      <c r="G771">
        <f t="shared" si="59"/>
        <v>0</v>
      </c>
      <c r="AJ771" s="40">
        <v>46219</v>
      </c>
      <c r="AK771" s="9" t="s">
        <v>43</v>
      </c>
      <c r="AL771" s="9" t="s">
        <v>206</v>
      </c>
      <c r="AM771" s="9"/>
      <c r="AN771" s="9">
        <v>78</v>
      </c>
      <c r="AO771" s="9">
        <v>74</v>
      </c>
      <c r="AP771" s="9">
        <v>0</v>
      </c>
      <c r="AQ771" s="9">
        <v>0</v>
      </c>
      <c r="AR771" s="9">
        <v>4</v>
      </c>
      <c r="AS771" s="9">
        <v>0</v>
      </c>
      <c r="AT771" s="9">
        <v>0</v>
      </c>
      <c r="AU771" s="9">
        <v>3</v>
      </c>
      <c r="AV771" s="9">
        <v>0</v>
      </c>
      <c r="AW771" s="9">
        <v>0</v>
      </c>
      <c r="AX771" s="9">
        <v>25</v>
      </c>
      <c r="AY771" s="9">
        <v>0</v>
      </c>
      <c r="AZ771" s="9">
        <v>28</v>
      </c>
    </row>
    <row r="772" spans="2:52">
      <c r="B772" t="str">
        <f t="shared" si="55"/>
        <v>Jul</v>
      </c>
      <c r="C772" s="43">
        <f t="shared" si="56"/>
        <v>46222</v>
      </c>
      <c r="D772" s="44">
        <f t="shared" si="57"/>
        <v>46219</v>
      </c>
      <c r="E772" s="9" t="s">
        <v>207</v>
      </c>
      <c r="F772">
        <f t="shared" si="58"/>
        <v>0</v>
      </c>
      <c r="G772">
        <f t="shared" si="59"/>
        <v>16</v>
      </c>
      <c r="AJ772" s="40">
        <v>46219</v>
      </c>
      <c r="AK772" s="9" t="s">
        <v>203</v>
      </c>
      <c r="AL772" s="9" t="s">
        <v>207</v>
      </c>
      <c r="AM772" s="9"/>
      <c r="AN772" s="9">
        <v>58</v>
      </c>
      <c r="AO772" s="9">
        <v>0</v>
      </c>
      <c r="AP772" s="9">
        <v>19</v>
      </c>
      <c r="AQ772" s="9">
        <v>12</v>
      </c>
      <c r="AR772" s="9">
        <v>50</v>
      </c>
      <c r="AS772" s="9">
        <v>46</v>
      </c>
      <c r="AT772" s="9">
        <v>38</v>
      </c>
      <c r="AU772" s="9">
        <v>37</v>
      </c>
      <c r="AV772" s="9">
        <v>44</v>
      </c>
      <c r="AW772" s="9">
        <v>40</v>
      </c>
      <c r="AX772" s="9">
        <v>79</v>
      </c>
      <c r="AY772" s="9">
        <v>83</v>
      </c>
      <c r="AZ772" s="9">
        <v>88</v>
      </c>
    </row>
    <row r="773" spans="2:52">
      <c r="B773" t="str">
        <f t="shared" ref="B773:B836" si="60">TEXT(C773,"MMM")</f>
        <v>Jul</v>
      </c>
      <c r="C773" s="43">
        <f t="shared" ref="C773:C836" si="61">AJ773+(8-WEEKDAY(AJ773))</f>
        <v>46222</v>
      </c>
      <c r="D773" s="44">
        <f t="shared" ref="D773:D836" si="62">AJ773</f>
        <v>46219</v>
      </c>
      <c r="E773" s="9" t="s">
        <v>42</v>
      </c>
      <c r="F773">
        <f t="shared" ref="F773:F836" si="63">IF(SUM(V773:AI773)&lt;=0,0,SUM(V773:AI773))</f>
        <v>0</v>
      </c>
      <c r="G773">
        <f t="shared" si="59"/>
        <v>-61</v>
      </c>
      <c r="AJ773" s="40">
        <v>46219</v>
      </c>
      <c r="AK773" s="9" t="s">
        <v>42</v>
      </c>
      <c r="AL773" s="9" t="s">
        <v>42</v>
      </c>
      <c r="AM773" s="9"/>
      <c r="AN773" s="9">
        <v>30</v>
      </c>
      <c r="AO773" s="9">
        <v>0</v>
      </c>
      <c r="AP773" s="9">
        <v>11</v>
      </c>
      <c r="AQ773" s="9">
        <v>14</v>
      </c>
      <c r="AR773" s="9">
        <v>19</v>
      </c>
      <c r="AS773" s="9">
        <v>41</v>
      </c>
      <c r="AT773" s="9">
        <v>56</v>
      </c>
      <c r="AU773" s="9">
        <v>59</v>
      </c>
      <c r="AV773" s="9">
        <v>63</v>
      </c>
      <c r="AW773" s="9">
        <v>67</v>
      </c>
      <c r="AX773" s="9">
        <v>72</v>
      </c>
      <c r="AY773" s="9">
        <v>75</v>
      </c>
      <c r="AZ773" s="9">
        <v>0</v>
      </c>
    </row>
    <row r="774" spans="2:52">
      <c r="B774" t="str">
        <f t="shared" si="60"/>
        <v>Jul</v>
      </c>
      <c r="C774" s="43">
        <f t="shared" si="61"/>
        <v>46222</v>
      </c>
      <c r="D774" s="44">
        <f t="shared" si="62"/>
        <v>46220</v>
      </c>
      <c r="E774" s="9" t="s">
        <v>31</v>
      </c>
      <c r="F774">
        <f t="shared" si="63"/>
        <v>0</v>
      </c>
      <c r="G774">
        <f t="shared" si="59"/>
        <v>35</v>
      </c>
      <c r="AJ774" s="40">
        <v>46220</v>
      </c>
      <c r="AK774" s="9" t="s">
        <v>204</v>
      </c>
      <c r="AL774" s="9" t="s">
        <v>31</v>
      </c>
      <c r="AM774" s="9"/>
      <c r="AN774" s="9">
        <v>110</v>
      </c>
      <c r="AO774" s="9">
        <v>126</v>
      </c>
      <c r="AP774" s="9">
        <v>123</v>
      </c>
      <c r="AQ774" s="9">
        <v>99</v>
      </c>
      <c r="AR774" s="9">
        <v>63</v>
      </c>
      <c r="AS774" s="9">
        <v>58</v>
      </c>
      <c r="AT774" s="9">
        <v>50</v>
      </c>
      <c r="AU774" s="9">
        <v>45</v>
      </c>
      <c r="AV774" s="9">
        <v>119</v>
      </c>
      <c r="AW774" s="9">
        <v>151</v>
      </c>
      <c r="AX774" s="9">
        <v>166</v>
      </c>
      <c r="AY774" s="9">
        <v>0</v>
      </c>
      <c r="AZ774" s="9">
        <v>50</v>
      </c>
    </row>
    <row r="775" spans="2:52">
      <c r="B775" t="str">
        <f t="shared" si="60"/>
        <v>Jul</v>
      </c>
      <c r="C775" s="43">
        <f t="shared" si="61"/>
        <v>46222</v>
      </c>
      <c r="D775" s="44">
        <f t="shared" si="62"/>
        <v>46220</v>
      </c>
      <c r="E775" s="9" t="s">
        <v>39</v>
      </c>
      <c r="F775">
        <f t="shared" si="63"/>
        <v>0</v>
      </c>
      <c r="G775">
        <f t="shared" si="59"/>
        <v>-105</v>
      </c>
      <c r="AJ775" s="40">
        <v>46220</v>
      </c>
      <c r="AK775" s="9" t="s">
        <v>205</v>
      </c>
      <c r="AL775" s="9" t="s">
        <v>39</v>
      </c>
      <c r="AM775" s="9"/>
      <c r="AN775" s="9">
        <v>103</v>
      </c>
      <c r="AO775" s="9">
        <v>0</v>
      </c>
      <c r="AP775" s="9">
        <v>25</v>
      </c>
      <c r="AQ775" s="9">
        <v>23</v>
      </c>
      <c r="AR775" s="9">
        <v>21</v>
      </c>
      <c r="AS775" s="9">
        <v>12</v>
      </c>
      <c r="AT775" s="9">
        <v>0</v>
      </c>
      <c r="AU775" s="9">
        <v>0</v>
      </c>
      <c r="AV775" s="9">
        <v>55</v>
      </c>
      <c r="AW775" s="9">
        <v>0</v>
      </c>
      <c r="AX775" s="9">
        <v>0</v>
      </c>
      <c r="AY775" s="9">
        <v>58</v>
      </c>
      <c r="AZ775" s="9">
        <v>73</v>
      </c>
    </row>
    <row r="776" spans="2:52">
      <c r="B776" t="str">
        <f t="shared" si="60"/>
        <v>Jul</v>
      </c>
      <c r="C776" s="43">
        <f t="shared" si="61"/>
        <v>46222</v>
      </c>
      <c r="D776" s="44">
        <f t="shared" si="62"/>
        <v>46220</v>
      </c>
      <c r="E776" s="9" t="s">
        <v>40</v>
      </c>
      <c r="F776">
        <f t="shared" si="63"/>
        <v>0</v>
      </c>
      <c r="G776">
        <f t="shared" si="59"/>
        <v>-47</v>
      </c>
      <c r="AJ776" s="40">
        <v>46220</v>
      </c>
      <c r="AK776" s="9" t="s">
        <v>205</v>
      </c>
      <c r="AL776" s="9" t="s">
        <v>40</v>
      </c>
      <c r="AM776" s="9"/>
      <c r="AN776" s="9">
        <v>139</v>
      </c>
      <c r="AO776" s="9">
        <v>148</v>
      </c>
      <c r="AP776" s="9">
        <v>146</v>
      </c>
      <c r="AQ776" s="9">
        <v>158</v>
      </c>
      <c r="AR776" s="9">
        <v>170</v>
      </c>
      <c r="AS776" s="9">
        <v>165</v>
      </c>
      <c r="AT776" s="9">
        <v>156</v>
      </c>
      <c r="AU776" s="9">
        <v>0</v>
      </c>
      <c r="AV776" s="9">
        <v>0</v>
      </c>
      <c r="AW776" s="9">
        <v>33</v>
      </c>
      <c r="AX776" s="9">
        <v>28</v>
      </c>
      <c r="AY776" s="9">
        <v>65</v>
      </c>
      <c r="AZ776" s="9">
        <v>68</v>
      </c>
    </row>
    <row r="777" spans="2:52">
      <c r="B777" t="str">
        <f t="shared" si="60"/>
        <v>Jul</v>
      </c>
      <c r="C777" s="43">
        <f t="shared" si="61"/>
        <v>46222</v>
      </c>
      <c r="D777" s="44">
        <f t="shared" si="62"/>
        <v>46220</v>
      </c>
      <c r="E777" s="9" t="s">
        <v>41</v>
      </c>
      <c r="F777">
        <f t="shared" si="63"/>
        <v>0</v>
      </c>
      <c r="G777">
        <f t="shared" si="59"/>
        <v>-76</v>
      </c>
      <c r="AJ777" s="40">
        <v>46220</v>
      </c>
      <c r="AK777" s="9" t="s">
        <v>41</v>
      </c>
      <c r="AL777" s="9" t="s">
        <v>41</v>
      </c>
      <c r="AM777" s="9"/>
      <c r="AN777" s="9">
        <v>18</v>
      </c>
      <c r="AO777" s="9">
        <v>0</v>
      </c>
      <c r="AP777" s="9">
        <v>8</v>
      </c>
      <c r="AQ777" s="9">
        <v>0</v>
      </c>
      <c r="AR777" s="9">
        <v>13</v>
      </c>
      <c r="AS777" s="9">
        <v>0</v>
      </c>
      <c r="AT777" s="9">
        <v>0</v>
      </c>
      <c r="AU777" s="9">
        <v>0</v>
      </c>
      <c r="AV777" s="9">
        <v>1</v>
      </c>
      <c r="AW777" s="9">
        <v>2</v>
      </c>
      <c r="AX777" s="9">
        <v>4</v>
      </c>
      <c r="AY777" s="9">
        <v>55</v>
      </c>
      <c r="AZ777" s="9">
        <v>0</v>
      </c>
    </row>
    <row r="778" spans="2:52">
      <c r="B778" t="str">
        <f t="shared" si="60"/>
        <v>Jul</v>
      </c>
      <c r="C778" s="43">
        <f t="shared" si="61"/>
        <v>46222</v>
      </c>
      <c r="D778" s="44">
        <f t="shared" si="62"/>
        <v>46220</v>
      </c>
      <c r="E778" s="9" t="s">
        <v>45</v>
      </c>
      <c r="F778">
        <f t="shared" si="63"/>
        <v>0</v>
      </c>
      <c r="G778">
        <f t="shared" si="59"/>
        <v>101</v>
      </c>
      <c r="AJ778" s="40">
        <v>46220</v>
      </c>
      <c r="AK778" s="9" t="s">
        <v>202</v>
      </c>
      <c r="AL778" s="9" t="s">
        <v>45</v>
      </c>
      <c r="AM778" s="9"/>
      <c r="AN778" s="9">
        <v>50</v>
      </c>
      <c r="AO778" s="9">
        <v>48</v>
      </c>
      <c r="AP778" s="9">
        <v>0</v>
      </c>
      <c r="AQ778" s="9">
        <v>0</v>
      </c>
      <c r="AR778" s="9">
        <v>17</v>
      </c>
      <c r="AS778" s="9">
        <v>10</v>
      </c>
      <c r="AT778" s="9">
        <v>18</v>
      </c>
      <c r="AU778" s="9">
        <v>80</v>
      </c>
      <c r="AV778" s="9">
        <v>123</v>
      </c>
      <c r="AW778" s="9">
        <v>119</v>
      </c>
      <c r="AX778" s="9">
        <v>126</v>
      </c>
      <c r="AY778" s="9">
        <v>119</v>
      </c>
      <c r="AZ778" s="9">
        <v>113</v>
      </c>
    </row>
    <row r="779" spans="2:52">
      <c r="B779" t="str">
        <f t="shared" si="60"/>
        <v>Jul</v>
      </c>
      <c r="C779" s="43">
        <f t="shared" si="61"/>
        <v>46222</v>
      </c>
      <c r="D779" s="44">
        <f t="shared" si="62"/>
        <v>46220</v>
      </c>
      <c r="E779" s="9" t="s">
        <v>46</v>
      </c>
      <c r="F779">
        <f t="shared" si="63"/>
        <v>0</v>
      </c>
      <c r="G779">
        <f t="shared" si="59"/>
        <v>-64</v>
      </c>
      <c r="AJ779" s="40">
        <v>46220</v>
      </c>
      <c r="AK779" s="9" t="s">
        <v>202</v>
      </c>
      <c r="AL779" s="9" t="s">
        <v>46</v>
      </c>
      <c r="AM779" s="9"/>
      <c r="AN779" s="9">
        <v>7</v>
      </c>
      <c r="AO779" s="9">
        <v>0</v>
      </c>
      <c r="AP779" s="9">
        <v>5</v>
      </c>
      <c r="AQ779" s="9">
        <v>7</v>
      </c>
      <c r="AR779" s="9">
        <v>7</v>
      </c>
      <c r="AS779" s="9">
        <v>12</v>
      </c>
      <c r="AT779" s="9">
        <v>17</v>
      </c>
      <c r="AU779" s="9">
        <v>16</v>
      </c>
      <c r="AV779" s="9">
        <v>16</v>
      </c>
      <c r="AW779" s="9">
        <v>20</v>
      </c>
      <c r="AX779" s="9">
        <v>17</v>
      </c>
      <c r="AY779" s="9">
        <v>20</v>
      </c>
      <c r="AZ779" s="9">
        <v>21</v>
      </c>
    </row>
    <row r="780" spans="2:52">
      <c r="B780" t="str">
        <f t="shared" si="60"/>
        <v>Jul</v>
      </c>
      <c r="C780" s="43">
        <f t="shared" si="61"/>
        <v>46222</v>
      </c>
      <c r="D780" s="44">
        <f t="shared" si="62"/>
        <v>46220</v>
      </c>
      <c r="E780" s="9" t="s">
        <v>47</v>
      </c>
      <c r="F780">
        <f t="shared" si="63"/>
        <v>0</v>
      </c>
      <c r="G780">
        <f t="shared" si="59"/>
        <v>5</v>
      </c>
      <c r="AJ780" s="40">
        <v>46220</v>
      </c>
      <c r="AK780" s="9" t="s">
        <v>202</v>
      </c>
      <c r="AL780" s="9" t="s">
        <v>47</v>
      </c>
      <c r="AM780" s="9"/>
      <c r="AN780" s="9">
        <v>0</v>
      </c>
      <c r="AO780" s="9">
        <v>5</v>
      </c>
      <c r="AP780" s="9">
        <v>2</v>
      </c>
      <c r="AQ780" s="9">
        <v>6</v>
      </c>
      <c r="AR780" s="9">
        <v>6</v>
      </c>
      <c r="AS780" s="9">
        <v>2</v>
      </c>
      <c r="AT780" s="9">
        <v>1</v>
      </c>
      <c r="AU780" s="9">
        <v>0</v>
      </c>
      <c r="AV780" s="9">
        <v>56</v>
      </c>
      <c r="AW780" s="9">
        <v>55</v>
      </c>
      <c r="AX780" s="9">
        <v>59</v>
      </c>
      <c r="AY780" s="9">
        <v>0</v>
      </c>
      <c r="AZ780" s="9">
        <v>5</v>
      </c>
    </row>
    <row r="781" spans="2:52">
      <c r="B781" t="str">
        <f t="shared" si="60"/>
        <v>Jul</v>
      </c>
      <c r="C781" s="43">
        <f t="shared" si="61"/>
        <v>46222</v>
      </c>
      <c r="D781" s="44">
        <f t="shared" si="62"/>
        <v>46220</v>
      </c>
      <c r="E781" s="9" t="s">
        <v>206</v>
      </c>
      <c r="F781">
        <f t="shared" si="63"/>
        <v>0</v>
      </c>
      <c r="G781">
        <f t="shared" si="59"/>
        <v>39</v>
      </c>
      <c r="AJ781" s="40">
        <v>46220</v>
      </c>
      <c r="AK781" s="9" t="s">
        <v>43</v>
      </c>
      <c r="AL781" s="9" t="s">
        <v>206</v>
      </c>
      <c r="AM781" s="9"/>
      <c r="AN781" s="9">
        <v>28</v>
      </c>
      <c r="AO781" s="9">
        <v>0</v>
      </c>
      <c r="AP781" s="9">
        <v>3</v>
      </c>
      <c r="AQ781" s="9">
        <v>0</v>
      </c>
      <c r="AR781" s="9">
        <v>5</v>
      </c>
      <c r="AS781" s="9">
        <v>14</v>
      </c>
      <c r="AT781" s="9">
        <v>22</v>
      </c>
      <c r="AU781" s="9">
        <v>27</v>
      </c>
      <c r="AV781" s="9">
        <v>19</v>
      </c>
      <c r="AW781" s="9">
        <v>64</v>
      </c>
      <c r="AX781" s="9">
        <v>64</v>
      </c>
      <c r="AY781" s="9">
        <v>57</v>
      </c>
      <c r="AZ781" s="9">
        <v>67</v>
      </c>
    </row>
    <row r="782" spans="2:52">
      <c r="B782" t="str">
        <f t="shared" si="60"/>
        <v>Jul</v>
      </c>
      <c r="C782" s="43">
        <f t="shared" si="61"/>
        <v>46222</v>
      </c>
      <c r="D782" s="44">
        <f t="shared" si="62"/>
        <v>46220</v>
      </c>
      <c r="E782" s="9" t="s">
        <v>207</v>
      </c>
      <c r="F782">
        <f t="shared" si="63"/>
        <v>0</v>
      </c>
      <c r="G782">
        <f t="shared" si="59"/>
        <v>-88</v>
      </c>
      <c r="AJ782" s="40">
        <v>46220</v>
      </c>
      <c r="AK782" s="9" t="s">
        <v>203</v>
      </c>
      <c r="AL782" s="9" t="s">
        <v>207</v>
      </c>
      <c r="AM782" s="9"/>
      <c r="AN782" s="9">
        <v>27</v>
      </c>
      <c r="AO782" s="9">
        <v>0</v>
      </c>
      <c r="AP782" s="9">
        <v>0</v>
      </c>
      <c r="AQ782" s="9">
        <v>0</v>
      </c>
      <c r="AR782" s="9">
        <v>0</v>
      </c>
      <c r="AS782" s="9">
        <v>0</v>
      </c>
      <c r="AT782" s="9">
        <v>0</v>
      </c>
      <c r="AU782" s="9">
        <v>32</v>
      </c>
      <c r="AV782" s="9">
        <v>36</v>
      </c>
      <c r="AW782" s="9">
        <v>44</v>
      </c>
      <c r="AX782" s="9">
        <v>47</v>
      </c>
      <c r="AY782" s="9">
        <v>43</v>
      </c>
      <c r="AZ782" s="9">
        <v>0</v>
      </c>
    </row>
    <row r="783" spans="2:52">
      <c r="B783" t="str">
        <f t="shared" si="60"/>
        <v>Jul</v>
      </c>
      <c r="C783" s="43">
        <f t="shared" si="61"/>
        <v>46222</v>
      </c>
      <c r="D783" s="44">
        <f t="shared" si="62"/>
        <v>46220</v>
      </c>
      <c r="E783" s="9" t="s">
        <v>42</v>
      </c>
      <c r="F783">
        <f t="shared" si="63"/>
        <v>0</v>
      </c>
      <c r="G783">
        <f t="shared" ref="G783:G846" si="64">SUM(H783:U783)+AZ783-AZ773</f>
        <v>4</v>
      </c>
      <c r="AJ783" s="40">
        <v>46220</v>
      </c>
      <c r="AK783" s="9" t="s">
        <v>42</v>
      </c>
      <c r="AL783" s="9" t="s">
        <v>42</v>
      </c>
      <c r="AM783" s="9"/>
      <c r="AN783" s="9">
        <v>40</v>
      </c>
      <c r="AO783" s="9">
        <v>42</v>
      </c>
      <c r="AP783" s="9">
        <v>37</v>
      </c>
      <c r="AQ783" s="9">
        <v>34</v>
      </c>
      <c r="AR783" s="9">
        <v>40</v>
      </c>
      <c r="AS783" s="9">
        <v>34</v>
      </c>
      <c r="AT783" s="9">
        <v>29</v>
      </c>
      <c r="AU783" s="9">
        <v>0</v>
      </c>
      <c r="AV783" s="9">
        <v>0</v>
      </c>
      <c r="AW783" s="9">
        <v>20</v>
      </c>
      <c r="AX783" s="9">
        <v>13</v>
      </c>
      <c r="AY783" s="9">
        <v>0</v>
      </c>
      <c r="AZ783" s="9">
        <v>4</v>
      </c>
    </row>
    <row r="784" spans="2:52">
      <c r="B784" t="str">
        <f t="shared" si="60"/>
        <v>Jul</v>
      </c>
      <c r="C784" s="43">
        <f t="shared" si="61"/>
        <v>46222</v>
      </c>
      <c r="D784" s="44">
        <f t="shared" si="62"/>
        <v>46221</v>
      </c>
      <c r="E784" s="9" t="s">
        <v>31</v>
      </c>
      <c r="F784">
        <f t="shared" si="63"/>
        <v>0</v>
      </c>
      <c r="G784">
        <f t="shared" si="64"/>
        <v>-41</v>
      </c>
      <c r="AJ784" s="40">
        <v>46221</v>
      </c>
      <c r="AK784" s="9" t="s">
        <v>204</v>
      </c>
      <c r="AL784" s="9" t="s">
        <v>31</v>
      </c>
      <c r="AM784" s="9"/>
      <c r="AN784" s="9">
        <v>70</v>
      </c>
      <c r="AO784" s="9">
        <v>127</v>
      </c>
      <c r="AP784" s="9">
        <v>148</v>
      </c>
      <c r="AQ784" s="9">
        <v>145</v>
      </c>
      <c r="AR784" s="9">
        <v>192</v>
      </c>
      <c r="AS784" s="9">
        <v>190</v>
      </c>
      <c r="AT784" s="9">
        <v>194</v>
      </c>
      <c r="AU784" s="9">
        <v>212</v>
      </c>
      <c r="AV784" s="9">
        <v>0</v>
      </c>
      <c r="AW784" s="9">
        <v>30</v>
      </c>
      <c r="AX784" s="9">
        <v>23</v>
      </c>
      <c r="AY784" s="9">
        <v>17</v>
      </c>
      <c r="AZ784" s="9">
        <v>9</v>
      </c>
    </row>
    <row r="785" spans="2:52">
      <c r="B785" t="str">
        <f t="shared" si="60"/>
        <v>Jul</v>
      </c>
      <c r="C785" s="43">
        <f t="shared" si="61"/>
        <v>46222</v>
      </c>
      <c r="D785" s="44">
        <f t="shared" si="62"/>
        <v>46221</v>
      </c>
      <c r="E785" s="9" t="s">
        <v>39</v>
      </c>
      <c r="F785">
        <f t="shared" si="63"/>
        <v>0</v>
      </c>
      <c r="G785">
        <f t="shared" si="64"/>
        <v>-16</v>
      </c>
      <c r="AJ785" s="40">
        <v>46221</v>
      </c>
      <c r="AK785" s="9" t="s">
        <v>205</v>
      </c>
      <c r="AL785" s="9" t="s">
        <v>39</v>
      </c>
      <c r="AM785" s="9"/>
      <c r="AN785" s="9">
        <v>64</v>
      </c>
      <c r="AO785" s="9">
        <v>62</v>
      </c>
      <c r="AP785" s="9">
        <v>79</v>
      </c>
      <c r="AQ785" s="9">
        <v>83</v>
      </c>
      <c r="AR785" s="9">
        <v>70</v>
      </c>
      <c r="AS785" s="9">
        <v>61</v>
      </c>
      <c r="AT785" s="9">
        <v>52</v>
      </c>
      <c r="AU785" s="9">
        <v>65</v>
      </c>
      <c r="AV785" s="9">
        <v>51</v>
      </c>
      <c r="AW785" s="9">
        <v>31</v>
      </c>
      <c r="AX785" s="9">
        <v>41</v>
      </c>
      <c r="AY785" s="9">
        <v>0</v>
      </c>
      <c r="AZ785" s="9">
        <v>57</v>
      </c>
    </row>
    <row r="786" spans="2:52">
      <c r="B786" t="str">
        <f t="shared" si="60"/>
        <v>Jul</v>
      </c>
      <c r="C786" s="43">
        <f t="shared" si="61"/>
        <v>46222</v>
      </c>
      <c r="D786" s="44">
        <f t="shared" si="62"/>
        <v>46221</v>
      </c>
      <c r="E786" s="9" t="s">
        <v>40</v>
      </c>
      <c r="F786">
        <f t="shared" si="63"/>
        <v>0</v>
      </c>
      <c r="G786">
        <f t="shared" si="64"/>
        <v>-37</v>
      </c>
      <c r="AJ786" s="40">
        <v>46221</v>
      </c>
      <c r="AK786" s="9" t="s">
        <v>205</v>
      </c>
      <c r="AL786" s="9" t="s">
        <v>40</v>
      </c>
      <c r="AM786" s="9"/>
      <c r="AN786" s="9">
        <v>61</v>
      </c>
      <c r="AO786" s="9">
        <v>51</v>
      </c>
      <c r="AP786" s="9">
        <v>49</v>
      </c>
      <c r="AQ786" s="9">
        <v>43</v>
      </c>
      <c r="AR786" s="9">
        <v>48</v>
      </c>
      <c r="AS786" s="9">
        <v>51</v>
      </c>
      <c r="AT786" s="9">
        <v>59</v>
      </c>
      <c r="AU786" s="9">
        <v>70</v>
      </c>
      <c r="AV786" s="9">
        <v>71</v>
      </c>
      <c r="AW786" s="9">
        <v>65</v>
      </c>
      <c r="AX786" s="9">
        <v>57</v>
      </c>
      <c r="AY786" s="9">
        <v>66</v>
      </c>
      <c r="AZ786" s="9">
        <v>31</v>
      </c>
    </row>
    <row r="787" spans="2:52">
      <c r="B787" t="str">
        <f t="shared" si="60"/>
        <v>Jul</v>
      </c>
      <c r="C787" s="43">
        <f t="shared" si="61"/>
        <v>46222</v>
      </c>
      <c r="D787" s="44">
        <f t="shared" si="62"/>
        <v>46221</v>
      </c>
      <c r="E787" s="9" t="s">
        <v>41</v>
      </c>
      <c r="F787">
        <f t="shared" si="63"/>
        <v>0</v>
      </c>
      <c r="G787">
        <f t="shared" si="64"/>
        <v>4</v>
      </c>
      <c r="AJ787" s="40">
        <v>46221</v>
      </c>
      <c r="AK787" s="9" t="s">
        <v>41</v>
      </c>
      <c r="AL787" s="9" t="s">
        <v>41</v>
      </c>
      <c r="AM787" s="9"/>
      <c r="AN787" s="9">
        <v>0</v>
      </c>
      <c r="AO787" s="9">
        <v>2</v>
      </c>
      <c r="AP787" s="9">
        <v>7</v>
      </c>
      <c r="AQ787" s="9">
        <v>3</v>
      </c>
      <c r="AR787" s="9">
        <v>4</v>
      </c>
      <c r="AS787" s="9">
        <v>0</v>
      </c>
      <c r="AT787" s="9">
        <v>1</v>
      </c>
      <c r="AU787" s="9">
        <v>5</v>
      </c>
      <c r="AV787" s="9">
        <v>7</v>
      </c>
      <c r="AW787" s="9">
        <v>3</v>
      </c>
      <c r="AX787" s="9">
        <v>0</v>
      </c>
      <c r="AY787" s="9">
        <v>0</v>
      </c>
      <c r="AZ787" s="9">
        <v>4</v>
      </c>
    </row>
    <row r="788" spans="2:52">
      <c r="B788" t="str">
        <f t="shared" si="60"/>
        <v>Jul</v>
      </c>
      <c r="C788" s="43">
        <f t="shared" si="61"/>
        <v>46222</v>
      </c>
      <c r="D788" s="44">
        <f t="shared" si="62"/>
        <v>46221</v>
      </c>
      <c r="E788" s="9" t="s">
        <v>45</v>
      </c>
      <c r="F788">
        <f t="shared" si="63"/>
        <v>0</v>
      </c>
      <c r="G788">
        <f t="shared" si="64"/>
        <v>-62</v>
      </c>
      <c r="AJ788" s="40">
        <v>46221</v>
      </c>
      <c r="AK788" s="9" t="s">
        <v>202</v>
      </c>
      <c r="AL788" s="9" t="s">
        <v>45</v>
      </c>
      <c r="AM788" s="9"/>
      <c r="AN788" s="9">
        <v>47</v>
      </c>
      <c r="AO788" s="9">
        <v>54</v>
      </c>
      <c r="AP788" s="9">
        <v>53</v>
      </c>
      <c r="AQ788" s="9">
        <v>49</v>
      </c>
      <c r="AR788" s="9">
        <v>51</v>
      </c>
      <c r="AS788" s="9">
        <v>0</v>
      </c>
      <c r="AT788" s="9">
        <v>0</v>
      </c>
      <c r="AU788" s="9">
        <v>0</v>
      </c>
      <c r="AV788" s="9">
        <v>1</v>
      </c>
      <c r="AW788" s="9">
        <v>2</v>
      </c>
      <c r="AX788" s="9">
        <v>48</v>
      </c>
      <c r="AY788" s="9">
        <v>51</v>
      </c>
      <c r="AZ788" s="9">
        <v>51</v>
      </c>
    </row>
    <row r="789" spans="2:52">
      <c r="B789" t="str">
        <f t="shared" si="60"/>
        <v>Jul</v>
      </c>
      <c r="C789" s="43">
        <f t="shared" si="61"/>
        <v>46222</v>
      </c>
      <c r="D789" s="44">
        <f t="shared" si="62"/>
        <v>46221</v>
      </c>
      <c r="E789" s="9" t="s">
        <v>46</v>
      </c>
      <c r="F789">
        <f t="shared" si="63"/>
        <v>0</v>
      </c>
      <c r="G789">
        <f t="shared" si="64"/>
        <v>128</v>
      </c>
      <c r="AJ789" s="40">
        <v>46221</v>
      </c>
      <c r="AK789" s="9" t="s">
        <v>202</v>
      </c>
      <c r="AL789" s="9" t="s">
        <v>46</v>
      </c>
      <c r="AM789" s="9"/>
      <c r="AN789" s="9">
        <v>15</v>
      </c>
      <c r="AO789" s="9">
        <v>18</v>
      </c>
      <c r="AP789" s="9">
        <v>0</v>
      </c>
      <c r="AQ789" s="9">
        <v>16</v>
      </c>
      <c r="AR789" s="9">
        <v>19</v>
      </c>
      <c r="AS789" s="9">
        <v>22</v>
      </c>
      <c r="AT789" s="9">
        <v>19</v>
      </c>
      <c r="AU789" s="9">
        <v>174</v>
      </c>
      <c r="AV789" s="9">
        <v>149</v>
      </c>
      <c r="AW789" s="9">
        <v>147</v>
      </c>
      <c r="AX789" s="9">
        <v>150</v>
      </c>
      <c r="AY789" s="9">
        <v>151</v>
      </c>
      <c r="AZ789" s="9">
        <v>149</v>
      </c>
    </row>
    <row r="790" spans="2:52">
      <c r="B790" t="str">
        <f t="shared" si="60"/>
        <v>Jul</v>
      </c>
      <c r="C790" s="43">
        <f t="shared" si="61"/>
        <v>46222</v>
      </c>
      <c r="D790" s="44">
        <f t="shared" si="62"/>
        <v>46221</v>
      </c>
      <c r="E790" s="9" t="s">
        <v>47</v>
      </c>
      <c r="F790">
        <f t="shared" si="63"/>
        <v>0</v>
      </c>
      <c r="G790">
        <f t="shared" si="64"/>
        <v>2</v>
      </c>
      <c r="AJ790" s="40">
        <v>46221</v>
      </c>
      <c r="AK790" s="9" t="s">
        <v>202</v>
      </c>
      <c r="AL790" s="9" t="s">
        <v>47</v>
      </c>
      <c r="AM790" s="9"/>
      <c r="AN790" s="9">
        <v>0</v>
      </c>
      <c r="AO790" s="9">
        <v>11</v>
      </c>
      <c r="AP790" s="9">
        <v>0</v>
      </c>
      <c r="AQ790" s="9">
        <v>155</v>
      </c>
      <c r="AR790" s="9">
        <v>157</v>
      </c>
      <c r="AS790" s="9">
        <v>0</v>
      </c>
      <c r="AT790" s="9">
        <v>10</v>
      </c>
      <c r="AU790" s="9">
        <v>12</v>
      </c>
      <c r="AV790" s="9">
        <v>14</v>
      </c>
      <c r="AW790" s="9">
        <v>14</v>
      </c>
      <c r="AX790" s="9">
        <v>11</v>
      </c>
      <c r="AY790" s="9">
        <v>7</v>
      </c>
      <c r="AZ790" s="9">
        <v>7</v>
      </c>
    </row>
    <row r="791" spans="2:52">
      <c r="B791" t="str">
        <f t="shared" si="60"/>
        <v>Jul</v>
      </c>
      <c r="C791" s="43">
        <f t="shared" si="61"/>
        <v>46222</v>
      </c>
      <c r="D791" s="44">
        <f t="shared" si="62"/>
        <v>46221</v>
      </c>
      <c r="E791" s="9" t="s">
        <v>206</v>
      </c>
      <c r="F791">
        <f t="shared" si="63"/>
        <v>0</v>
      </c>
      <c r="G791">
        <f t="shared" si="64"/>
        <v>-64</v>
      </c>
      <c r="AJ791" s="40">
        <v>46221</v>
      </c>
      <c r="AK791" s="9" t="s">
        <v>43</v>
      </c>
      <c r="AL791" s="9" t="s">
        <v>206</v>
      </c>
      <c r="AM791" s="9"/>
      <c r="AN791" s="9">
        <v>58</v>
      </c>
      <c r="AO791" s="9">
        <v>58</v>
      </c>
      <c r="AP791" s="9">
        <v>63</v>
      </c>
      <c r="AQ791" s="9">
        <v>66</v>
      </c>
      <c r="AR791" s="9">
        <v>74</v>
      </c>
      <c r="AS791" s="9">
        <v>72</v>
      </c>
      <c r="AT791" s="9">
        <v>64</v>
      </c>
      <c r="AU791" s="9">
        <v>61</v>
      </c>
      <c r="AV791" s="9">
        <v>60</v>
      </c>
      <c r="AW791" s="9">
        <v>0</v>
      </c>
      <c r="AX791" s="9">
        <v>7</v>
      </c>
      <c r="AY791" s="9">
        <v>0</v>
      </c>
      <c r="AZ791" s="9">
        <v>3</v>
      </c>
    </row>
    <row r="792" spans="2:52">
      <c r="B792" t="str">
        <f t="shared" si="60"/>
        <v>Jul</v>
      </c>
      <c r="C792" s="43">
        <f t="shared" si="61"/>
        <v>46222</v>
      </c>
      <c r="D792" s="44">
        <f t="shared" si="62"/>
        <v>46221</v>
      </c>
      <c r="E792" s="9" t="s">
        <v>207</v>
      </c>
      <c r="F792">
        <f t="shared" si="63"/>
        <v>0</v>
      </c>
      <c r="G792">
        <f t="shared" si="64"/>
        <v>52</v>
      </c>
      <c r="AJ792" s="40">
        <v>46221</v>
      </c>
      <c r="AK792" s="9" t="s">
        <v>203</v>
      </c>
      <c r="AL792" s="9" t="s">
        <v>207</v>
      </c>
      <c r="AM792" s="9"/>
      <c r="AN792" s="9">
        <v>10</v>
      </c>
      <c r="AO792" s="9">
        <v>11</v>
      </c>
      <c r="AP792" s="9">
        <v>14</v>
      </c>
      <c r="AQ792" s="9">
        <v>21</v>
      </c>
      <c r="AR792" s="9">
        <v>13</v>
      </c>
      <c r="AS792" s="9">
        <v>22</v>
      </c>
      <c r="AT792" s="9">
        <v>29</v>
      </c>
      <c r="AU792" s="9">
        <v>55</v>
      </c>
      <c r="AV792" s="9">
        <v>62</v>
      </c>
      <c r="AW792" s="9">
        <v>63</v>
      </c>
      <c r="AX792" s="9">
        <v>64</v>
      </c>
      <c r="AY792" s="9">
        <v>58</v>
      </c>
      <c r="AZ792" s="9">
        <v>52</v>
      </c>
    </row>
    <row r="793" spans="2:52">
      <c r="B793" t="str">
        <f t="shared" si="60"/>
        <v>Jul</v>
      </c>
      <c r="C793" s="43">
        <f t="shared" si="61"/>
        <v>46222</v>
      </c>
      <c r="D793" s="44">
        <f t="shared" si="62"/>
        <v>46221</v>
      </c>
      <c r="E793" s="9" t="s">
        <v>42</v>
      </c>
      <c r="F793">
        <f t="shared" si="63"/>
        <v>0</v>
      </c>
      <c r="G793">
        <f t="shared" si="64"/>
        <v>73</v>
      </c>
      <c r="AJ793" s="40">
        <v>46221</v>
      </c>
      <c r="AK793" s="9" t="s">
        <v>42</v>
      </c>
      <c r="AL793" s="9" t="s">
        <v>42</v>
      </c>
      <c r="AM793" s="9"/>
      <c r="AN793" s="9">
        <v>22</v>
      </c>
      <c r="AO793" s="9">
        <v>18</v>
      </c>
      <c r="AP793" s="9">
        <v>13</v>
      </c>
      <c r="AQ793" s="9">
        <v>20</v>
      </c>
      <c r="AR793" s="9">
        <v>26</v>
      </c>
      <c r="AS793" s="9">
        <v>25</v>
      </c>
      <c r="AT793" s="9">
        <v>55</v>
      </c>
      <c r="AU793" s="9">
        <v>58</v>
      </c>
      <c r="AV793" s="9">
        <v>60</v>
      </c>
      <c r="AW793" s="9">
        <v>66</v>
      </c>
      <c r="AX793" s="9">
        <v>71</v>
      </c>
      <c r="AY793" s="9">
        <v>70</v>
      </c>
      <c r="AZ793" s="9">
        <v>77</v>
      </c>
    </row>
    <row r="794" spans="2:52">
      <c r="B794" t="str">
        <f t="shared" si="60"/>
        <v>Jul</v>
      </c>
      <c r="C794" s="43">
        <f t="shared" si="61"/>
        <v>46229</v>
      </c>
      <c r="D794" s="44">
        <f t="shared" si="62"/>
        <v>46222</v>
      </c>
      <c r="E794" s="9" t="s">
        <v>31</v>
      </c>
      <c r="F794">
        <f t="shared" si="63"/>
        <v>0</v>
      </c>
      <c r="G794">
        <f t="shared" si="64"/>
        <v>10</v>
      </c>
      <c r="AJ794" s="40">
        <v>46222</v>
      </c>
      <c r="AK794" s="9" t="s">
        <v>204</v>
      </c>
      <c r="AL794" s="9" t="s">
        <v>31</v>
      </c>
      <c r="AM794" s="9"/>
      <c r="AN794" s="9">
        <v>74</v>
      </c>
      <c r="AO794" s="9">
        <v>72</v>
      </c>
      <c r="AP794" s="9">
        <v>79</v>
      </c>
      <c r="AQ794" s="9">
        <v>82</v>
      </c>
      <c r="AR794" s="9">
        <v>101</v>
      </c>
      <c r="AS794" s="9">
        <v>112</v>
      </c>
      <c r="AT794" s="9">
        <v>103</v>
      </c>
      <c r="AU794" s="9">
        <v>97</v>
      </c>
      <c r="AV794" s="9">
        <v>0</v>
      </c>
      <c r="AW794" s="9">
        <v>2</v>
      </c>
      <c r="AX794" s="9">
        <v>42</v>
      </c>
      <c r="AY794" s="9">
        <v>0</v>
      </c>
      <c r="AZ794" s="9">
        <v>19</v>
      </c>
    </row>
    <row r="795" spans="2:52">
      <c r="B795" t="str">
        <f t="shared" si="60"/>
        <v>Jul</v>
      </c>
      <c r="C795" s="43">
        <f t="shared" si="61"/>
        <v>46229</v>
      </c>
      <c r="D795" s="44">
        <f t="shared" si="62"/>
        <v>46222</v>
      </c>
      <c r="E795" s="9" t="s">
        <v>39</v>
      </c>
      <c r="F795">
        <f t="shared" si="63"/>
        <v>0</v>
      </c>
      <c r="G795">
        <f t="shared" si="64"/>
        <v>102</v>
      </c>
      <c r="AJ795" s="40">
        <v>46222</v>
      </c>
      <c r="AK795" s="9" t="s">
        <v>205</v>
      </c>
      <c r="AL795" s="9" t="s">
        <v>39</v>
      </c>
      <c r="AM795" s="9"/>
      <c r="AN795" s="9">
        <v>64</v>
      </c>
      <c r="AO795" s="9">
        <v>78</v>
      </c>
      <c r="AP795" s="9">
        <v>0</v>
      </c>
      <c r="AQ795" s="9">
        <v>38</v>
      </c>
      <c r="AR795" s="9">
        <v>25</v>
      </c>
      <c r="AS795" s="9">
        <v>33</v>
      </c>
      <c r="AT795" s="9">
        <v>113</v>
      </c>
      <c r="AU795" s="9">
        <v>125</v>
      </c>
      <c r="AV795" s="9">
        <v>176</v>
      </c>
      <c r="AW795" s="9">
        <v>188</v>
      </c>
      <c r="AX795" s="9">
        <v>182</v>
      </c>
      <c r="AY795" s="9">
        <v>171</v>
      </c>
      <c r="AZ795" s="9">
        <v>159</v>
      </c>
    </row>
    <row r="796" spans="2:52">
      <c r="B796" t="str">
        <f t="shared" si="60"/>
        <v>Jul</v>
      </c>
      <c r="C796" s="43">
        <f t="shared" si="61"/>
        <v>46229</v>
      </c>
      <c r="D796" s="44">
        <f t="shared" si="62"/>
        <v>46222</v>
      </c>
      <c r="E796" s="9" t="s">
        <v>40</v>
      </c>
      <c r="F796">
        <f t="shared" si="63"/>
        <v>0</v>
      </c>
      <c r="G796">
        <f t="shared" si="64"/>
        <v>-31</v>
      </c>
      <c r="AJ796" s="40">
        <v>46222</v>
      </c>
      <c r="AK796" s="9" t="s">
        <v>205</v>
      </c>
      <c r="AL796" s="9" t="s">
        <v>40</v>
      </c>
      <c r="AM796" s="9"/>
      <c r="AN796" s="9">
        <v>64</v>
      </c>
      <c r="AO796" s="9">
        <v>62</v>
      </c>
      <c r="AP796" s="9">
        <v>72</v>
      </c>
      <c r="AQ796" s="9">
        <v>67</v>
      </c>
      <c r="AR796" s="9">
        <v>77</v>
      </c>
      <c r="AS796" s="9">
        <v>77</v>
      </c>
      <c r="AT796" s="9">
        <v>44</v>
      </c>
      <c r="AU796" s="9">
        <v>55</v>
      </c>
      <c r="AV796" s="9">
        <v>45</v>
      </c>
      <c r="AW796" s="9">
        <v>45</v>
      </c>
      <c r="AX796" s="9">
        <v>36</v>
      </c>
      <c r="AY796" s="9">
        <v>0</v>
      </c>
      <c r="AZ796" s="9">
        <v>0</v>
      </c>
    </row>
    <row r="797" spans="2:52">
      <c r="B797" t="str">
        <f t="shared" si="60"/>
        <v>Jul</v>
      </c>
      <c r="C797" s="43">
        <f t="shared" si="61"/>
        <v>46229</v>
      </c>
      <c r="D797" s="44">
        <f t="shared" si="62"/>
        <v>46222</v>
      </c>
      <c r="E797" s="9" t="s">
        <v>41</v>
      </c>
      <c r="F797">
        <f t="shared" si="63"/>
        <v>0</v>
      </c>
      <c r="G797">
        <f t="shared" si="64"/>
        <v>166</v>
      </c>
      <c r="AJ797" s="40">
        <v>46222</v>
      </c>
      <c r="AK797" s="9" t="s">
        <v>41</v>
      </c>
      <c r="AL797" s="9" t="s">
        <v>41</v>
      </c>
      <c r="AM797" s="9"/>
      <c r="AN797" s="9">
        <v>75</v>
      </c>
      <c r="AO797" s="9">
        <v>123</v>
      </c>
      <c r="AP797" s="9">
        <v>125</v>
      </c>
      <c r="AQ797" s="9">
        <v>123</v>
      </c>
      <c r="AR797" s="9">
        <v>177</v>
      </c>
      <c r="AS797" s="9">
        <v>155</v>
      </c>
      <c r="AT797" s="9">
        <v>127</v>
      </c>
      <c r="AU797" s="9">
        <v>0</v>
      </c>
      <c r="AV797" s="9">
        <v>3</v>
      </c>
      <c r="AW797" s="9">
        <v>7</v>
      </c>
      <c r="AX797" s="9">
        <v>12</v>
      </c>
      <c r="AY797" s="9">
        <v>15</v>
      </c>
      <c r="AZ797" s="9">
        <v>170</v>
      </c>
    </row>
    <row r="798" spans="2:52">
      <c r="B798" t="str">
        <f t="shared" si="60"/>
        <v>Jul</v>
      </c>
      <c r="C798" s="43">
        <f t="shared" si="61"/>
        <v>46229</v>
      </c>
      <c r="D798" s="44">
        <f t="shared" si="62"/>
        <v>46222</v>
      </c>
      <c r="E798" s="9" t="s">
        <v>45</v>
      </c>
      <c r="F798">
        <f t="shared" si="63"/>
        <v>0</v>
      </c>
      <c r="G798">
        <f t="shared" si="64"/>
        <v>45</v>
      </c>
      <c r="AJ798" s="40">
        <v>46222</v>
      </c>
      <c r="AK798" s="9" t="s">
        <v>202</v>
      </c>
      <c r="AL798" s="9" t="s">
        <v>45</v>
      </c>
      <c r="AM798" s="9"/>
      <c r="AN798" s="9">
        <v>39</v>
      </c>
      <c r="AO798" s="9">
        <v>43</v>
      </c>
      <c r="AP798" s="9">
        <v>37</v>
      </c>
      <c r="AQ798" s="9">
        <v>37</v>
      </c>
      <c r="AR798" s="9">
        <v>33</v>
      </c>
      <c r="AS798" s="9">
        <v>27</v>
      </c>
      <c r="AT798" s="9">
        <v>30</v>
      </c>
      <c r="AU798" s="9">
        <v>34</v>
      </c>
      <c r="AV798" s="9">
        <v>34</v>
      </c>
      <c r="AW798" s="9">
        <v>83</v>
      </c>
      <c r="AX798" s="9">
        <v>81</v>
      </c>
      <c r="AY798" s="9">
        <v>88</v>
      </c>
      <c r="AZ798" s="9">
        <v>96</v>
      </c>
    </row>
    <row r="799" spans="2:52">
      <c r="B799" t="str">
        <f t="shared" si="60"/>
        <v>Jul</v>
      </c>
      <c r="C799" s="43">
        <f t="shared" si="61"/>
        <v>46229</v>
      </c>
      <c r="D799" s="44">
        <f t="shared" si="62"/>
        <v>46222</v>
      </c>
      <c r="E799" s="9" t="s">
        <v>46</v>
      </c>
      <c r="F799">
        <f t="shared" si="63"/>
        <v>0</v>
      </c>
      <c r="G799">
        <f t="shared" si="64"/>
        <v>-129</v>
      </c>
      <c r="AJ799" s="40">
        <v>46222</v>
      </c>
      <c r="AK799" s="9" t="s">
        <v>202</v>
      </c>
      <c r="AL799" s="9" t="s">
        <v>46</v>
      </c>
      <c r="AM799" s="9"/>
      <c r="AN799" s="9">
        <v>25</v>
      </c>
      <c r="AO799" s="9">
        <v>30</v>
      </c>
      <c r="AP799" s="9">
        <v>33</v>
      </c>
      <c r="AQ799" s="9">
        <v>31</v>
      </c>
      <c r="AR799" s="9">
        <v>0</v>
      </c>
      <c r="AS799" s="9">
        <v>15</v>
      </c>
      <c r="AT799" s="9">
        <v>0</v>
      </c>
      <c r="AU799" s="9">
        <v>0</v>
      </c>
      <c r="AV799" s="9">
        <v>10</v>
      </c>
      <c r="AW799" s="9">
        <v>13</v>
      </c>
      <c r="AX799" s="9">
        <v>18</v>
      </c>
      <c r="AY799" s="9">
        <v>18</v>
      </c>
      <c r="AZ799" s="9">
        <v>20</v>
      </c>
    </row>
    <row r="800" spans="2:52">
      <c r="B800" t="str">
        <f t="shared" si="60"/>
        <v>Jul</v>
      </c>
      <c r="C800" s="43">
        <f t="shared" si="61"/>
        <v>46229</v>
      </c>
      <c r="D800" s="44">
        <f t="shared" si="62"/>
        <v>46222</v>
      </c>
      <c r="E800" s="9" t="s">
        <v>47</v>
      </c>
      <c r="F800">
        <f t="shared" si="63"/>
        <v>0</v>
      </c>
      <c r="G800">
        <f t="shared" si="64"/>
        <v>-7</v>
      </c>
      <c r="AJ800" s="40">
        <v>46222</v>
      </c>
      <c r="AK800" s="9" t="s">
        <v>202</v>
      </c>
      <c r="AL800" s="9" t="s">
        <v>47</v>
      </c>
      <c r="AM800" s="9"/>
      <c r="AN800" s="9">
        <v>0</v>
      </c>
      <c r="AO800" s="9">
        <v>15</v>
      </c>
      <c r="AP800" s="9">
        <v>0</v>
      </c>
      <c r="AQ800" s="9">
        <v>15</v>
      </c>
      <c r="AR800" s="9">
        <v>12</v>
      </c>
      <c r="AS800" s="9">
        <v>12</v>
      </c>
      <c r="AT800" s="9">
        <v>11</v>
      </c>
      <c r="AU800" s="9">
        <v>114</v>
      </c>
      <c r="AV800" s="9">
        <v>111</v>
      </c>
      <c r="AW800" s="9">
        <v>110</v>
      </c>
      <c r="AX800" s="9">
        <v>0</v>
      </c>
      <c r="AY800" s="9">
        <v>10</v>
      </c>
      <c r="AZ800" s="9">
        <v>0</v>
      </c>
    </row>
    <row r="801" spans="2:52">
      <c r="B801" t="str">
        <f t="shared" si="60"/>
        <v>Jul</v>
      </c>
      <c r="C801" s="43">
        <f t="shared" si="61"/>
        <v>46229</v>
      </c>
      <c r="D801" s="44">
        <f t="shared" si="62"/>
        <v>46222</v>
      </c>
      <c r="E801" s="9" t="s">
        <v>206</v>
      </c>
      <c r="F801">
        <f t="shared" si="63"/>
        <v>0</v>
      </c>
      <c r="G801">
        <f t="shared" si="64"/>
        <v>101</v>
      </c>
      <c r="AJ801" s="40">
        <v>46222</v>
      </c>
      <c r="AK801" s="9" t="s">
        <v>43</v>
      </c>
      <c r="AL801" s="9" t="s">
        <v>206</v>
      </c>
      <c r="AM801" s="9"/>
      <c r="AN801" s="9">
        <v>23</v>
      </c>
      <c r="AO801" s="9">
        <v>23</v>
      </c>
      <c r="AP801" s="9">
        <v>64</v>
      </c>
      <c r="AQ801" s="9">
        <v>70</v>
      </c>
      <c r="AR801" s="9">
        <v>0</v>
      </c>
      <c r="AS801" s="9">
        <v>11</v>
      </c>
      <c r="AT801" s="9">
        <v>6</v>
      </c>
      <c r="AU801" s="9">
        <v>11</v>
      </c>
      <c r="AV801" s="9">
        <v>4</v>
      </c>
      <c r="AW801" s="9">
        <v>43</v>
      </c>
      <c r="AX801" s="9">
        <v>38</v>
      </c>
      <c r="AY801" s="9">
        <v>102</v>
      </c>
      <c r="AZ801" s="9">
        <v>104</v>
      </c>
    </row>
    <row r="802" spans="2:52">
      <c r="B802" t="str">
        <f t="shared" si="60"/>
        <v>Jul</v>
      </c>
      <c r="C802" s="43">
        <f t="shared" si="61"/>
        <v>46229</v>
      </c>
      <c r="D802" s="44">
        <f t="shared" si="62"/>
        <v>46222</v>
      </c>
      <c r="E802" s="9" t="s">
        <v>207</v>
      </c>
      <c r="F802">
        <f t="shared" si="63"/>
        <v>0</v>
      </c>
      <c r="G802">
        <f t="shared" si="64"/>
        <v>4</v>
      </c>
      <c r="AJ802" s="40">
        <v>46222</v>
      </c>
      <c r="AK802" s="9" t="s">
        <v>203</v>
      </c>
      <c r="AL802" s="9" t="s">
        <v>207</v>
      </c>
      <c r="AM802" s="9"/>
      <c r="AN802" s="9">
        <v>35</v>
      </c>
      <c r="AO802" s="9">
        <v>0</v>
      </c>
      <c r="AP802" s="9">
        <v>0</v>
      </c>
      <c r="AQ802" s="9">
        <v>28</v>
      </c>
      <c r="AR802" s="9">
        <v>28</v>
      </c>
      <c r="AS802" s="9">
        <v>31</v>
      </c>
      <c r="AT802" s="9">
        <v>26</v>
      </c>
      <c r="AU802" s="9">
        <v>26</v>
      </c>
      <c r="AV802" s="9">
        <v>29</v>
      </c>
      <c r="AW802" s="9">
        <v>38</v>
      </c>
      <c r="AX802" s="9">
        <v>30</v>
      </c>
      <c r="AY802" s="9">
        <v>57</v>
      </c>
      <c r="AZ802" s="9">
        <v>56</v>
      </c>
    </row>
    <row r="803" spans="2:52">
      <c r="B803" t="str">
        <f t="shared" si="60"/>
        <v>Jul</v>
      </c>
      <c r="C803" s="43">
        <f t="shared" si="61"/>
        <v>46229</v>
      </c>
      <c r="D803" s="44">
        <f t="shared" si="62"/>
        <v>46222</v>
      </c>
      <c r="E803" s="9" t="s">
        <v>42</v>
      </c>
      <c r="F803">
        <f t="shared" si="63"/>
        <v>0</v>
      </c>
      <c r="G803">
        <f t="shared" si="64"/>
        <v>3</v>
      </c>
      <c r="AJ803" s="40">
        <v>46222</v>
      </c>
      <c r="AK803" s="9" t="s">
        <v>42</v>
      </c>
      <c r="AL803" s="9" t="s">
        <v>42</v>
      </c>
      <c r="AM803" s="9"/>
      <c r="AN803" s="9">
        <v>33</v>
      </c>
      <c r="AO803" s="9">
        <v>10</v>
      </c>
      <c r="AP803" s="9">
        <v>0</v>
      </c>
      <c r="AQ803" s="9">
        <v>7</v>
      </c>
      <c r="AR803" s="9">
        <v>0</v>
      </c>
      <c r="AS803" s="9">
        <v>0</v>
      </c>
      <c r="AT803" s="9">
        <v>0</v>
      </c>
      <c r="AU803" s="9">
        <v>0</v>
      </c>
      <c r="AV803" s="9">
        <v>14</v>
      </c>
      <c r="AW803" s="9">
        <v>20</v>
      </c>
      <c r="AX803" s="9">
        <v>21</v>
      </c>
      <c r="AY803" s="9">
        <v>17</v>
      </c>
      <c r="AZ803" s="9">
        <v>80</v>
      </c>
    </row>
    <row r="804" spans="2:52">
      <c r="B804" t="str">
        <f t="shared" si="60"/>
        <v>Jul</v>
      </c>
      <c r="C804" s="43">
        <f t="shared" si="61"/>
        <v>46229</v>
      </c>
      <c r="D804" s="44">
        <f t="shared" si="62"/>
        <v>46223</v>
      </c>
      <c r="E804" s="9" t="s">
        <v>31</v>
      </c>
      <c r="F804">
        <f t="shared" si="63"/>
        <v>0</v>
      </c>
      <c r="G804">
        <f t="shared" si="64"/>
        <v>-19</v>
      </c>
      <c r="AJ804" s="40">
        <v>46223</v>
      </c>
      <c r="AK804" s="9" t="s">
        <v>204</v>
      </c>
      <c r="AL804" s="9" t="s">
        <v>31</v>
      </c>
      <c r="AM804" s="9"/>
      <c r="AN804" s="9">
        <v>105</v>
      </c>
      <c r="AO804" s="9">
        <v>111</v>
      </c>
      <c r="AP804" s="9">
        <v>126</v>
      </c>
      <c r="AQ804" s="9">
        <v>158</v>
      </c>
      <c r="AR804" s="9">
        <v>160</v>
      </c>
      <c r="AS804" s="9">
        <v>113</v>
      </c>
      <c r="AT804" s="9">
        <v>121</v>
      </c>
      <c r="AU804" s="9">
        <v>105</v>
      </c>
      <c r="AV804" s="9">
        <v>0</v>
      </c>
      <c r="AW804" s="9">
        <v>2</v>
      </c>
      <c r="AX804" s="9">
        <v>13</v>
      </c>
      <c r="AY804" s="9">
        <v>0</v>
      </c>
      <c r="AZ804" s="9">
        <v>0</v>
      </c>
    </row>
    <row r="805" spans="2:52">
      <c r="B805" t="str">
        <f t="shared" si="60"/>
        <v>Jul</v>
      </c>
      <c r="C805" s="43">
        <f t="shared" si="61"/>
        <v>46229</v>
      </c>
      <c r="D805" s="44">
        <f t="shared" si="62"/>
        <v>46223</v>
      </c>
      <c r="E805" s="9" t="s">
        <v>39</v>
      </c>
      <c r="F805">
        <f t="shared" si="63"/>
        <v>0</v>
      </c>
      <c r="G805">
        <f t="shared" si="64"/>
        <v>-72</v>
      </c>
      <c r="AJ805" s="40">
        <v>46223</v>
      </c>
      <c r="AK805" s="9" t="s">
        <v>205</v>
      </c>
      <c r="AL805" s="9" t="s">
        <v>39</v>
      </c>
      <c r="AM805" s="9"/>
      <c r="AN805" s="9">
        <v>89</v>
      </c>
      <c r="AO805" s="9">
        <v>82</v>
      </c>
      <c r="AP805" s="9">
        <v>71</v>
      </c>
      <c r="AQ805" s="9">
        <v>65</v>
      </c>
      <c r="AR805" s="9">
        <v>60</v>
      </c>
      <c r="AS805" s="9">
        <v>73</v>
      </c>
      <c r="AT805" s="9">
        <v>95</v>
      </c>
      <c r="AU805" s="9">
        <v>0</v>
      </c>
      <c r="AV805" s="9">
        <v>58</v>
      </c>
      <c r="AW805" s="9">
        <v>56</v>
      </c>
      <c r="AX805" s="9">
        <v>43</v>
      </c>
      <c r="AY805" s="9">
        <v>34</v>
      </c>
      <c r="AZ805" s="9">
        <v>87</v>
      </c>
    </row>
    <row r="806" spans="2:52">
      <c r="B806" t="str">
        <f t="shared" si="60"/>
        <v>Jul</v>
      </c>
      <c r="C806" s="43">
        <f t="shared" si="61"/>
        <v>46229</v>
      </c>
      <c r="D806" s="44">
        <f t="shared" si="62"/>
        <v>46223</v>
      </c>
      <c r="E806" s="9" t="s">
        <v>40</v>
      </c>
      <c r="F806">
        <f t="shared" si="63"/>
        <v>0</v>
      </c>
      <c r="G806">
        <f t="shared" si="64"/>
        <v>0</v>
      </c>
      <c r="AJ806" s="40">
        <v>46223</v>
      </c>
      <c r="AK806" s="9" t="s">
        <v>205</v>
      </c>
      <c r="AL806" s="9" t="s">
        <v>40</v>
      </c>
      <c r="AM806" s="9"/>
      <c r="AN806" s="9">
        <v>48</v>
      </c>
      <c r="AO806" s="9">
        <v>42</v>
      </c>
      <c r="AP806" s="9">
        <v>45</v>
      </c>
      <c r="AQ806" s="9">
        <v>52</v>
      </c>
      <c r="AR806" s="9">
        <v>58</v>
      </c>
      <c r="AS806" s="9">
        <v>69</v>
      </c>
      <c r="AT806" s="9">
        <v>59</v>
      </c>
      <c r="AU806" s="9">
        <v>0</v>
      </c>
      <c r="AV806" s="9">
        <v>28</v>
      </c>
      <c r="AW806" s="9">
        <v>40</v>
      </c>
      <c r="AX806" s="9">
        <v>44</v>
      </c>
      <c r="AY806" s="9">
        <v>37</v>
      </c>
      <c r="AZ806" s="9">
        <v>0</v>
      </c>
    </row>
    <row r="807" spans="2:52">
      <c r="B807" t="str">
        <f t="shared" si="60"/>
        <v>Jul</v>
      </c>
      <c r="C807" s="43">
        <f t="shared" si="61"/>
        <v>46229</v>
      </c>
      <c r="D807" s="44">
        <f t="shared" si="62"/>
        <v>46223</v>
      </c>
      <c r="E807" s="9" t="s">
        <v>41</v>
      </c>
      <c r="F807">
        <f t="shared" si="63"/>
        <v>0</v>
      </c>
      <c r="G807">
        <f t="shared" si="64"/>
        <v>-35</v>
      </c>
      <c r="AJ807" s="40">
        <v>46223</v>
      </c>
      <c r="AK807" s="9" t="s">
        <v>41</v>
      </c>
      <c r="AL807" s="9" t="s">
        <v>41</v>
      </c>
      <c r="AM807" s="9"/>
      <c r="AN807" s="9">
        <v>0</v>
      </c>
      <c r="AO807" s="9">
        <v>1</v>
      </c>
      <c r="AP807" s="9">
        <v>0</v>
      </c>
      <c r="AQ807" s="9">
        <v>12</v>
      </c>
      <c r="AR807" s="9">
        <v>8</v>
      </c>
      <c r="AS807" s="9">
        <v>51</v>
      </c>
      <c r="AT807" s="9">
        <v>48</v>
      </c>
      <c r="AU807" s="9">
        <v>44</v>
      </c>
      <c r="AV807" s="9">
        <v>84</v>
      </c>
      <c r="AW807" s="9">
        <v>134</v>
      </c>
      <c r="AX807" s="9">
        <v>130</v>
      </c>
      <c r="AY807" s="9">
        <v>134</v>
      </c>
      <c r="AZ807" s="9">
        <v>135</v>
      </c>
    </row>
    <row r="808" spans="2:52">
      <c r="B808" t="str">
        <f t="shared" si="60"/>
        <v>Jul</v>
      </c>
      <c r="C808" s="43">
        <f t="shared" si="61"/>
        <v>46229</v>
      </c>
      <c r="D808" s="44">
        <f t="shared" si="62"/>
        <v>46223</v>
      </c>
      <c r="E808" s="9" t="s">
        <v>45</v>
      </c>
      <c r="F808">
        <f t="shared" si="63"/>
        <v>0</v>
      </c>
      <c r="G808">
        <f t="shared" si="64"/>
        <v>-75</v>
      </c>
      <c r="AJ808" s="40">
        <v>46223</v>
      </c>
      <c r="AK808" s="9" t="s">
        <v>202</v>
      </c>
      <c r="AL808" s="9" t="s">
        <v>45</v>
      </c>
      <c r="AM808" s="9"/>
      <c r="AN808" s="9">
        <v>19</v>
      </c>
      <c r="AO808" s="9">
        <v>76</v>
      </c>
      <c r="AP808" s="9">
        <v>83</v>
      </c>
      <c r="AQ808" s="9">
        <v>88</v>
      </c>
      <c r="AR808" s="9">
        <v>139</v>
      </c>
      <c r="AS808" s="9">
        <v>135</v>
      </c>
      <c r="AT808" s="9">
        <v>129</v>
      </c>
      <c r="AU808" s="9">
        <v>0</v>
      </c>
      <c r="AV808" s="9">
        <v>9</v>
      </c>
      <c r="AW808" s="9">
        <v>10</v>
      </c>
      <c r="AX808" s="9">
        <v>5</v>
      </c>
      <c r="AY808" s="9">
        <v>13</v>
      </c>
      <c r="AZ808" s="9">
        <v>21</v>
      </c>
    </row>
    <row r="809" spans="2:52">
      <c r="B809" t="str">
        <f t="shared" si="60"/>
        <v>Jul</v>
      </c>
      <c r="C809" s="43">
        <f t="shared" si="61"/>
        <v>46229</v>
      </c>
      <c r="D809" s="44">
        <f t="shared" si="62"/>
        <v>46223</v>
      </c>
      <c r="E809" s="9" t="s">
        <v>46</v>
      </c>
      <c r="F809">
        <f t="shared" si="63"/>
        <v>0</v>
      </c>
      <c r="G809">
        <f t="shared" si="64"/>
        <v>164</v>
      </c>
      <c r="AJ809" s="40">
        <v>46223</v>
      </c>
      <c r="AK809" s="9" t="s">
        <v>202</v>
      </c>
      <c r="AL809" s="9" t="s">
        <v>46</v>
      </c>
      <c r="AM809" s="9"/>
      <c r="AN809" s="9">
        <v>12</v>
      </c>
      <c r="AO809" s="9">
        <v>56</v>
      </c>
      <c r="AP809" s="9">
        <v>59</v>
      </c>
      <c r="AQ809" s="9">
        <v>90</v>
      </c>
      <c r="AR809" s="9">
        <v>90</v>
      </c>
      <c r="AS809" s="9">
        <v>138</v>
      </c>
      <c r="AT809" s="9">
        <v>178</v>
      </c>
      <c r="AU809" s="9">
        <v>177</v>
      </c>
      <c r="AV809" s="9">
        <v>180</v>
      </c>
      <c r="AW809" s="9">
        <v>185</v>
      </c>
      <c r="AX809" s="9">
        <v>190</v>
      </c>
      <c r="AY809" s="9">
        <v>188</v>
      </c>
      <c r="AZ809" s="9">
        <v>184</v>
      </c>
    </row>
    <row r="810" spans="2:52">
      <c r="B810" t="str">
        <f t="shared" si="60"/>
        <v>Jul</v>
      </c>
      <c r="C810" s="43">
        <f t="shared" si="61"/>
        <v>46229</v>
      </c>
      <c r="D810" s="44">
        <f t="shared" si="62"/>
        <v>46223</v>
      </c>
      <c r="E810" s="9" t="s">
        <v>47</v>
      </c>
      <c r="F810">
        <f t="shared" si="63"/>
        <v>0</v>
      </c>
      <c r="G810">
        <f t="shared" si="64"/>
        <v>10</v>
      </c>
      <c r="AJ810" s="40">
        <v>46223</v>
      </c>
      <c r="AK810" s="9" t="s">
        <v>202</v>
      </c>
      <c r="AL810" s="9" t="s">
        <v>47</v>
      </c>
      <c r="AM810" s="9"/>
      <c r="AN810" s="9">
        <v>26</v>
      </c>
      <c r="AO810" s="9">
        <v>29</v>
      </c>
      <c r="AP810" s="9">
        <v>25</v>
      </c>
      <c r="AQ810" s="9">
        <v>22</v>
      </c>
      <c r="AR810" s="9">
        <v>23</v>
      </c>
      <c r="AS810" s="9">
        <v>25</v>
      </c>
      <c r="AT810" s="9">
        <v>0</v>
      </c>
      <c r="AU810" s="9">
        <v>16</v>
      </c>
      <c r="AV810" s="9">
        <v>15</v>
      </c>
      <c r="AW810" s="9">
        <v>15</v>
      </c>
      <c r="AX810" s="9">
        <v>19</v>
      </c>
      <c r="AY810" s="9">
        <v>0</v>
      </c>
      <c r="AZ810" s="9">
        <v>10</v>
      </c>
    </row>
    <row r="811" spans="2:52">
      <c r="B811" t="str">
        <f t="shared" si="60"/>
        <v>Jul</v>
      </c>
      <c r="C811" s="43">
        <f t="shared" si="61"/>
        <v>46229</v>
      </c>
      <c r="D811" s="44">
        <f t="shared" si="62"/>
        <v>46223</v>
      </c>
      <c r="E811" s="9" t="s">
        <v>206</v>
      </c>
      <c r="F811">
        <f t="shared" si="63"/>
        <v>0</v>
      </c>
      <c r="G811">
        <f t="shared" si="64"/>
        <v>-102</v>
      </c>
      <c r="AJ811" s="40">
        <v>46223</v>
      </c>
      <c r="AK811" s="9" t="s">
        <v>43</v>
      </c>
      <c r="AL811" s="9" t="s">
        <v>206</v>
      </c>
      <c r="AM811" s="9"/>
      <c r="AN811" s="9">
        <v>63</v>
      </c>
      <c r="AO811" s="9">
        <v>62</v>
      </c>
      <c r="AP811" s="9">
        <v>62</v>
      </c>
      <c r="AQ811" s="9">
        <v>61</v>
      </c>
      <c r="AR811" s="9">
        <v>57</v>
      </c>
      <c r="AS811" s="9">
        <v>66</v>
      </c>
      <c r="AT811" s="9">
        <v>78</v>
      </c>
      <c r="AU811" s="9">
        <v>75</v>
      </c>
      <c r="AV811" s="9">
        <v>73</v>
      </c>
      <c r="AW811" s="9">
        <v>0</v>
      </c>
      <c r="AX811" s="9">
        <v>0</v>
      </c>
      <c r="AY811" s="9">
        <v>0</v>
      </c>
      <c r="AZ811" s="9">
        <v>2</v>
      </c>
    </row>
    <row r="812" spans="2:52">
      <c r="B812" t="str">
        <f t="shared" si="60"/>
        <v>Jul</v>
      </c>
      <c r="C812" s="43">
        <f t="shared" si="61"/>
        <v>46229</v>
      </c>
      <c r="D812" s="44">
        <f t="shared" si="62"/>
        <v>46223</v>
      </c>
      <c r="E812" s="9" t="s">
        <v>207</v>
      </c>
      <c r="F812">
        <f t="shared" si="63"/>
        <v>0</v>
      </c>
      <c r="G812">
        <f t="shared" si="64"/>
        <v>-46</v>
      </c>
      <c r="AJ812" s="40">
        <v>46223</v>
      </c>
      <c r="AK812" s="9" t="s">
        <v>203</v>
      </c>
      <c r="AL812" s="9" t="s">
        <v>207</v>
      </c>
      <c r="AM812" s="9"/>
      <c r="AN812" s="9">
        <v>8</v>
      </c>
      <c r="AO812" s="9">
        <v>5</v>
      </c>
      <c r="AP812" s="9">
        <v>0</v>
      </c>
      <c r="AQ812" s="9">
        <v>4</v>
      </c>
      <c r="AR812" s="9">
        <v>2</v>
      </c>
      <c r="AS812" s="9">
        <v>0</v>
      </c>
      <c r="AT812" s="9">
        <v>24</v>
      </c>
      <c r="AU812" s="9">
        <v>0</v>
      </c>
      <c r="AV812" s="9">
        <v>0</v>
      </c>
      <c r="AW812" s="9">
        <v>0</v>
      </c>
      <c r="AX812" s="9">
        <v>0</v>
      </c>
      <c r="AY812" s="9">
        <v>4</v>
      </c>
      <c r="AZ812" s="9">
        <v>10</v>
      </c>
    </row>
    <row r="813" spans="2:52">
      <c r="B813" t="str">
        <f t="shared" si="60"/>
        <v>Jul</v>
      </c>
      <c r="C813" s="43">
        <f t="shared" si="61"/>
        <v>46229</v>
      </c>
      <c r="D813" s="44">
        <f t="shared" si="62"/>
        <v>46223</v>
      </c>
      <c r="E813" s="9" t="s">
        <v>42</v>
      </c>
      <c r="F813">
        <f t="shared" si="63"/>
        <v>0</v>
      </c>
      <c r="G813">
        <f t="shared" si="64"/>
        <v>160</v>
      </c>
      <c r="AJ813" s="40">
        <v>46223</v>
      </c>
      <c r="AK813" s="9" t="s">
        <v>42</v>
      </c>
      <c r="AL813" s="9" t="s">
        <v>42</v>
      </c>
      <c r="AM813" s="9"/>
      <c r="AN813" s="9">
        <v>0</v>
      </c>
      <c r="AO813" s="9">
        <v>22</v>
      </c>
      <c r="AP813" s="9">
        <v>49</v>
      </c>
      <c r="AQ813" s="9">
        <v>53</v>
      </c>
      <c r="AR813" s="9">
        <v>110</v>
      </c>
      <c r="AS813" s="9">
        <v>240</v>
      </c>
      <c r="AT813" s="9">
        <v>240</v>
      </c>
      <c r="AU813" s="9">
        <v>240</v>
      </c>
      <c r="AV813" s="9">
        <v>235</v>
      </c>
      <c r="AW813" s="9">
        <v>235</v>
      </c>
      <c r="AX813" s="9">
        <v>240</v>
      </c>
      <c r="AY813" s="9">
        <v>240</v>
      </c>
      <c r="AZ813" s="9">
        <v>240</v>
      </c>
    </row>
    <row r="814" spans="2:52">
      <c r="B814" t="str">
        <f t="shared" si="60"/>
        <v>Jul</v>
      </c>
      <c r="C814" s="43">
        <f t="shared" si="61"/>
        <v>46229</v>
      </c>
      <c r="D814" s="44">
        <f t="shared" si="62"/>
        <v>46224</v>
      </c>
      <c r="E814" s="9" t="s">
        <v>31</v>
      </c>
      <c r="F814">
        <f t="shared" si="63"/>
        <v>0</v>
      </c>
      <c r="G814">
        <f t="shared" si="64"/>
        <v>76</v>
      </c>
      <c r="AJ814" s="40">
        <v>46224</v>
      </c>
      <c r="AK814" s="9" t="s">
        <v>204</v>
      </c>
      <c r="AL814" s="9" t="s">
        <v>31</v>
      </c>
      <c r="AM814" s="9"/>
      <c r="AN814" s="9">
        <v>130</v>
      </c>
      <c r="AO814" s="9">
        <v>86</v>
      </c>
      <c r="AP814" s="9">
        <v>78</v>
      </c>
      <c r="AQ814" s="9">
        <v>91</v>
      </c>
      <c r="AR814" s="9">
        <v>98</v>
      </c>
      <c r="AS814" s="9">
        <v>105</v>
      </c>
      <c r="AT814" s="9">
        <v>110</v>
      </c>
      <c r="AU814" s="9">
        <v>109</v>
      </c>
      <c r="AV814" s="9">
        <v>81</v>
      </c>
      <c r="AW814" s="9">
        <v>73</v>
      </c>
      <c r="AX814" s="9">
        <v>75</v>
      </c>
      <c r="AY814" s="9">
        <v>59</v>
      </c>
      <c r="AZ814" s="9">
        <v>76</v>
      </c>
    </row>
    <row r="815" spans="2:52">
      <c r="B815" t="str">
        <f t="shared" si="60"/>
        <v>Jul</v>
      </c>
      <c r="C815" s="43">
        <f t="shared" si="61"/>
        <v>46229</v>
      </c>
      <c r="D815" s="44">
        <f t="shared" si="62"/>
        <v>46224</v>
      </c>
      <c r="E815" s="9" t="s">
        <v>39</v>
      </c>
      <c r="F815">
        <f t="shared" si="63"/>
        <v>0</v>
      </c>
      <c r="G815">
        <f t="shared" si="64"/>
        <v>-61</v>
      </c>
      <c r="AJ815" s="40">
        <v>46224</v>
      </c>
      <c r="AK815" s="9" t="s">
        <v>205</v>
      </c>
      <c r="AL815" s="9" t="s">
        <v>39</v>
      </c>
      <c r="AM815" s="9"/>
      <c r="AN815" s="9">
        <v>62</v>
      </c>
      <c r="AO815" s="9">
        <v>49</v>
      </c>
      <c r="AP815" s="9">
        <v>17</v>
      </c>
      <c r="AQ815" s="9">
        <v>17</v>
      </c>
      <c r="AR815" s="9">
        <v>12</v>
      </c>
      <c r="AS815" s="9">
        <v>22</v>
      </c>
      <c r="AT815" s="9">
        <v>0</v>
      </c>
      <c r="AU815" s="9">
        <v>0</v>
      </c>
      <c r="AV815" s="9">
        <v>4</v>
      </c>
      <c r="AW815" s="9">
        <v>0</v>
      </c>
      <c r="AX815" s="9">
        <v>0</v>
      </c>
      <c r="AY815" s="9">
        <v>0</v>
      </c>
      <c r="AZ815" s="9">
        <v>26</v>
      </c>
    </row>
    <row r="816" spans="2:52">
      <c r="B816" t="str">
        <f t="shared" si="60"/>
        <v>Jul</v>
      </c>
      <c r="C816" s="43">
        <f t="shared" si="61"/>
        <v>46229</v>
      </c>
      <c r="D816" s="44">
        <f t="shared" si="62"/>
        <v>46224</v>
      </c>
      <c r="E816" s="9" t="s">
        <v>40</v>
      </c>
      <c r="F816">
        <f t="shared" si="63"/>
        <v>0</v>
      </c>
      <c r="G816">
        <f t="shared" si="64"/>
        <v>12</v>
      </c>
      <c r="AJ816" s="40">
        <v>46224</v>
      </c>
      <c r="AK816" s="9" t="s">
        <v>205</v>
      </c>
      <c r="AL816" s="9" t="s">
        <v>40</v>
      </c>
      <c r="AM816" s="9"/>
      <c r="AN816" s="9">
        <v>39</v>
      </c>
      <c r="AO816" s="9">
        <v>105</v>
      </c>
      <c r="AP816" s="9">
        <v>104</v>
      </c>
      <c r="AQ816" s="9">
        <v>114</v>
      </c>
      <c r="AR816" s="9">
        <v>107</v>
      </c>
      <c r="AS816" s="9">
        <v>144</v>
      </c>
      <c r="AT816" s="9">
        <v>141</v>
      </c>
      <c r="AU816" s="9">
        <v>135</v>
      </c>
      <c r="AV816" s="9">
        <v>147</v>
      </c>
      <c r="AW816" s="9">
        <v>146</v>
      </c>
      <c r="AX816" s="9">
        <v>146</v>
      </c>
      <c r="AY816" s="9">
        <v>0</v>
      </c>
      <c r="AZ816" s="9">
        <v>12</v>
      </c>
    </row>
    <row r="817" spans="2:52">
      <c r="B817" t="str">
        <f t="shared" si="60"/>
        <v>Jul</v>
      </c>
      <c r="C817" s="43">
        <f t="shared" si="61"/>
        <v>46229</v>
      </c>
      <c r="D817" s="44">
        <f t="shared" si="62"/>
        <v>46224</v>
      </c>
      <c r="E817" s="9" t="s">
        <v>41</v>
      </c>
      <c r="F817">
        <f t="shared" si="63"/>
        <v>0</v>
      </c>
      <c r="G817">
        <f t="shared" si="64"/>
        <v>-135</v>
      </c>
      <c r="AJ817" s="40">
        <v>46224</v>
      </c>
      <c r="AK817" s="9" t="s">
        <v>41</v>
      </c>
      <c r="AL817" s="9" t="s">
        <v>41</v>
      </c>
      <c r="AM817" s="9"/>
      <c r="AN817" s="9">
        <v>29</v>
      </c>
      <c r="AO817" s="9">
        <v>27</v>
      </c>
      <c r="AP817" s="9">
        <v>0</v>
      </c>
      <c r="AQ817" s="9">
        <v>3</v>
      </c>
      <c r="AR817" s="9">
        <v>6</v>
      </c>
      <c r="AS817" s="9">
        <v>8</v>
      </c>
      <c r="AT817" s="9">
        <v>10</v>
      </c>
      <c r="AU817" s="9">
        <v>11</v>
      </c>
      <c r="AV817" s="9">
        <v>8</v>
      </c>
      <c r="AW817" s="9">
        <v>13</v>
      </c>
      <c r="AX817" s="9">
        <v>12</v>
      </c>
      <c r="AY817" s="9">
        <v>0</v>
      </c>
      <c r="AZ817" s="9">
        <v>0</v>
      </c>
    </row>
    <row r="818" spans="2:52">
      <c r="B818" t="str">
        <f t="shared" si="60"/>
        <v>Jul</v>
      </c>
      <c r="C818" s="43">
        <f t="shared" si="61"/>
        <v>46229</v>
      </c>
      <c r="D818" s="44">
        <f t="shared" si="62"/>
        <v>46224</v>
      </c>
      <c r="E818" s="9" t="s">
        <v>45</v>
      </c>
      <c r="F818">
        <f t="shared" si="63"/>
        <v>0</v>
      </c>
      <c r="G818">
        <f t="shared" si="64"/>
        <v>-17</v>
      </c>
      <c r="AJ818" s="40">
        <v>46224</v>
      </c>
      <c r="AK818" s="9" t="s">
        <v>202</v>
      </c>
      <c r="AL818" s="9" t="s">
        <v>45</v>
      </c>
      <c r="AM818" s="9"/>
      <c r="AN818" s="9">
        <v>48</v>
      </c>
      <c r="AO818" s="9">
        <v>47</v>
      </c>
      <c r="AP818" s="9">
        <v>53</v>
      </c>
      <c r="AQ818" s="9">
        <v>87</v>
      </c>
      <c r="AR818" s="9">
        <v>80</v>
      </c>
      <c r="AS818" s="9">
        <v>0</v>
      </c>
      <c r="AT818" s="9">
        <v>0</v>
      </c>
      <c r="AU818" s="9">
        <v>0</v>
      </c>
      <c r="AV818" s="9">
        <v>15</v>
      </c>
      <c r="AW818" s="9">
        <v>9</v>
      </c>
      <c r="AX818" s="9">
        <v>6</v>
      </c>
      <c r="AY818" s="9">
        <v>0</v>
      </c>
      <c r="AZ818" s="9">
        <v>4</v>
      </c>
    </row>
    <row r="819" spans="2:52">
      <c r="B819" t="str">
        <f t="shared" si="60"/>
        <v>Jul</v>
      </c>
      <c r="C819" s="43">
        <f t="shared" si="61"/>
        <v>46229</v>
      </c>
      <c r="D819" s="44">
        <f t="shared" si="62"/>
        <v>46224</v>
      </c>
      <c r="E819" s="9" t="s">
        <v>46</v>
      </c>
      <c r="F819">
        <f t="shared" si="63"/>
        <v>0</v>
      </c>
      <c r="G819">
        <f t="shared" si="64"/>
        <v>-171</v>
      </c>
      <c r="AJ819" s="40">
        <v>46224</v>
      </c>
      <c r="AK819" s="9" t="s">
        <v>202</v>
      </c>
      <c r="AL819" s="9" t="s">
        <v>46</v>
      </c>
      <c r="AM819" s="9"/>
      <c r="AN819" s="9">
        <v>0</v>
      </c>
      <c r="AO819" s="9">
        <v>1</v>
      </c>
      <c r="AP819" s="9">
        <v>3</v>
      </c>
      <c r="AQ819" s="9">
        <v>3</v>
      </c>
      <c r="AR819" s="9">
        <v>2</v>
      </c>
      <c r="AS819" s="9">
        <v>35</v>
      </c>
      <c r="AT819" s="9">
        <v>38</v>
      </c>
      <c r="AU819" s="9">
        <v>12</v>
      </c>
      <c r="AV819" s="9">
        <v>15</v>
      </c>
      <c r="AW819" s="9">
        <v>13</v>
      </c>
      <c r="AX819" s="9">
        <v>13</v>
      </c>
      <c r="AY819" s="9">
        <v>15</v>
      </c>
      <c r="AZ819" s="9">
        <v>13</v>
      </c>
    </row>
    <row r="820" spans="2:52">
      <c r="B820" t="str">
        <f t="shared" si="60"/>
        <v>Jul</v>
      </c>
      <c r="C820" s="43">
        <f t="shared" si="61"/>
        <v>46229</v>
      </c>
      <c r="D820" s="44">
        <f t="shared" si="62"/>
        <v>46224</v>
      </c>
      <c r="E820" s="9" t="s">
        <v>47</v>
      </c>
      <c r="F820">
        <f t="shared" si="63"/>
        <v>0</v>
      </c>
      <c r="G820">
        <f t="shared" si="64"/>
        <v>55</v>
      </c>
      <c r="AJ820" s="40">
        <v>46224</v>
      </c>
      <c r="AK820" s="9" t="s">
        <v>202</v>
      </c>
      <c r="AL820" s="9" t="s">
        <v>47</v>
      </c>
      <c r="AM820" s="9"/>
      <c r="AN820" s="9">
        <v>21</v>
      </c>
      <c r="AO820" s="9">
        <v>23</v>
      </c>
      <c r="AP820" s="9">
        <v>25</v>
      </c>
      <c r="AQ820" s="9">
        <v>26</v>
      </c>
      <c r="AR820" s="9">
        <v>24</v>
      </c>
      <c r="AS820" s="9">
        <v>0</v>
      </c>
      <c r="AT820" s="9">
        <v>0</v>
      </c>
      <c r="AU820" s="9">
        <v>0</v>
      </c>
      <c r="AV820" s="9">
        <v>4</v>
      </c>
      <c r="AW820" s="9">
        <v>0</v>
      </c>
      <c r="AX820" s="9">
        <v>0</v>
      </c>
      <c r="AY820" s="9">
        <v>9</v>
      </c>
      <c r="AZ820" s="9">
        <v>65</v>
      </c>
    </row>
    <row r="821" spans="2:52">
      <c r="B821" t="str">
        <f t="shared" si="60"/>
        <v>Jul</v>
      </c>
      <c r="C821" s="43">
        <f t="shared" si="61"/>
        <v>46229</v>
      </c>
      <c r="D821" s="44">
        <f t="shared" si="62"/>
        <v>46224</v>
      </c>
      <c r="E821" s="9" t="s">
        <v>206</v>
      </c>
      <c r="F821">
        <f t="shared" si="63"/>
        <v>0</v>
      </c>
      <c r="G821">
        <f t="shared" si="64"/>
        <v>-2</v>
      </c>
      <c r="AJ821" s="40">
        <v>46224</v>
      </c>
      <c r="AK821" s="9" t="s">
        <v>43</v>
      </c>
      <c r="AL821" s="9" t="s">
        <v>206</v>
      </c>
      <c r="AM821" s="9"/>
      <c r="AN821" s="9">
        <v>0</v>
      </c>
      <c r="AO821" s="9">
        <v>14</v>
      </c>
      <c r="AP821" s="9">
        <v>14</v>
      </c>
      <c r="AQ821" s="9">
        <v>10</v>
      </c>
      <c r="AR821" s="9">
        <v>0</v>
      </c>
      <c r="AS821" s="9">
        <v>0</v>
      </c>
      <c r="AT821" s="9">
        <v>21</v>
      </c>
      <c r="AU821" s="9">
        <v>31</v>
      </c>
      <c r="AV821" s="9">
        <v>0</v>
      </c>
      <c r="AW821" s="9">
        <v>2</v>
      </c>
      <c r="AX821" s="9">
        <v>0</v>
      </c>
      <c r="AY821" s="9">
        <v>56</v>
      </c>
      <c r="AZ821" s="9">
        <v>0</v>
      </c>
    </row>
    <row r="822" spans="2:52">
      <c r="B822" t="str">
        <f t="shared" si="60"/>
        <v>Jul</v>
      </c>
      <c r="C822" s="43">
        <f t="shared" si="61"/>
        <v>46229</v>
      </c>
      <c r="D822" s="44">
        <f t="shared" si="62"/>
        <v>46224</v>
      </c>
      <c r="E822" s="9" t="s">
        <v>207</v>
      </c>
      <c r="F822">
        <f t="shared" si="63"/>
        <v>0</v>
      </c>
      <c r="G822">
        <f t="shared" si="64"/>
        <v>-10</v>
      </c>
      <c r="AJ822" s="40">
        <v>46224</v>
      </c>
      <c r="AK822" s="9" t="s">
        <v>203</v>
      </c>
      <c r="AL822" s="9" t="s">
        <v>207</v>
      </c>
      <c r="AM822" s="9"/>
      <c r="AN822" s="9">
        <v>0</v>
      </c>
      <c r="AO822" s="9">
        <v>32</v>
      </c>
      <c r="AP822" s="9">
        <v>0</v>
      </c>
      <c r="AQ822" s="9">
        <v>2</v>
      </c>
      <c r="AR822" s="9">
        <v>0</v>
      </c>
      <c r="AS822" s="9">
        <v>22</v>
      </c>
      <c r="AT822" s="9">
        <v>0</v>
      </c>
      <c r="AU822" s="9">
        <v>0</v>
      </c>
      <c r="AV822" s="9">
        <v>25</v>
      </c>
      <c r="AW822" s="9">
        <v>28</v>
      </c>
      <c r="AX822" s="9">
        <v>28</v>
      </c>
      <c r="AY822" s="9">
        <v>32</v>
      </c>
      <c r="AZ822" s="9">
        <v>0</v>
      </c>
    </row>
    <row r="823" spans="2:52">
      <c r="B823" t="str">
        <f t="shared" si="60"/>
        <v>Jul</v>
      </c>
      <c r="C823" s="43">
        <f t="shared" si="61"/>
        <v>46229</v>
      </c>
      <c r="D823" s="44">
        <f t="shared" si="62"/>
        <v>46224</v>
      </c>
      <c r="E823" s="9" t="s">
        <v>42</v>
      </c>
      <c r="F823">
        <f t="shared" si="63"/>
        <v>0</v>
      </c>
      <c r="G823">
        <f t="shared" si="64"/>
        <v>-167</v>
      </c>
      <c r="AJ823" s="40">
        <v>46224</v>
      </c>
      <c r="AK823" s="9" t="s">
        <v>42</v>
      </c>
      <c r="AL823" s="9" t="s">
        <v>42</v>
      </c>
      <c r="AM823" s="9"/>
      <c r="AN823" s="9">
        <v>9</v>
      </c>
      <c r="AO823" s="9">
        <v>7</v>
      </c>
      <c r="AP823" s="9">
        <v>0</v>
      </c>
      <c r="AQ823" s="9">
        <v>9</v>
      </c>
      <c r="AR823" s="9">
        <v>64</v>
      </c>
      <c r="AS823" s="9">
        <v>0</v>
      </c>
      <c r="AT823" s="9">
        <v>0</v>
      </c>
      <c r="AU823" s="9">
        <v>50</v>
      </c>
      <c r="AV823" s="9">
        <v>54</v>
      </c>
      <c r="AW823" s="9">
        <v>55</v>
      </c>
      <c r="AX823" s="9">
        <v>75</v>
      </c>
      <c r="AY823" s="9">
        <v>78</v>
      </c>
      <c r="AZ823" s="9">
        <v>73</v>
      </c>
    </row>
    <row r="824" spans="2:52">
      <c r="B824" t="str">
        <f t="shared" si="60"/>
        <v>Jul</v>
      </c>
      <c r="C824" s="43">
        <f t="shared" si="61"/>
        <v>46229</v>
      </c>
      <c r="D824" s="44">
        <f t="shared" si="62"/>
        <v>46225</v>
      </c>
      <c r="E824" s="9" t="s">
        <v>31</v>
      </c>
      <c r="F824">
        <f t="shared" si="63"/>
        <v>0</v>
      </c>
      <c r="G824">
        <f t="shared" si="64"/>
        <v>-61</v>
      </c>
      <c r="AJ824" s="40">
        <v>46225</v>
      </c>
      <c r="AK824" s="9" t="s">
        <v>204</v>
      </c>
      <c r="AL824" s="9" t="s">
        <v>31</v>
      </c>
      <c r="AM824" s="9"/>
      <c r="AN824" s="9">
        <v>86</v>
      </c>
      <c r="AO824" s="9">
        <v>76</v>
      </c>
      <c r="AP824" s="9">
        <v>70</v>
      </c>
      <c r="AQ824" s="9">
        <v>84</v>
      </c>
      <c r="AR824" s="9">
        <v>80</v>
      </c>
      <c r="AS824" s="9">
        <v>0</v>
      </c>
      <c r="AT824" s="9">
        <v>7</v>
      </c>
      <c r="AU824" s="9">
        <v>22</v>
      </c>
      <c r="AV824" s="9">
        <v>34</v>
      </c>
      <c r="AW824" s="9">
        <v>0</v>
      </c>
      <c r="AX824" s="9">
        <v>0</v>
      </c>
      <c r="AY824" s="9">
        <v>12</v>
      </c>
      <c r="AZ824" s="9">
        <v>15</v>
      </c>
    </row>
    <row r="825" spans="2:52">
      <c r="B825" t="str">
        <f t="shared" si="60"/>
        <v>Jul</v>
      </c>
      <c r="C825" s="43">
        <f t="shared" si="61"/>
        <v>46229</v>
      </c>
      <c r="D825" s="44">
        <f t="shared" si="62"/>
        <v>46225</v>
      </c>
      <c r="E825" s="9" t="s">
        <v>39</v>
      </c>
      <c r="F825">
        <f t="shared" si="63"/>
        <v>0</v>
      </c>
      <c r="G825">
        <f t="shared" si="64"/>
        <v>99</v>
      </c>
      <c r="AJ825" s="40">
        <v>46225</v>
      </c>
      <c r="AK825" s="9" t="s">
        <v>205</v>
      </c>
      <c r="AL825" s="9" t="s">
        <v>39</v>
      </c>
      <c r="AM825" s="9"/>
      <c r="AN825" s="9">
        <v>106</v>
      </c>
      <c r="AO825" s="9">
        <v>69</v>
      </c>
      <c r="AP825" s="9">
        <v>60</v>
      </c>
      <c r="AQ825" s="9">
        <v>55</v>
      </c>
      <c r="AR825" s="9">
        <v>38</v>
      </c>
      <c r="AS825" s="9">
        <v>30</v>
      </c>
      <c r="AT825" s="9">
        <v>54</v>
      </c>
      <c r="AU825" s="9">
        <v>75</v>
      </c>
      <c r="AV825" s="9">
        <v>85</v>
      </c>
      <c r="AW825" s="9">
        <v>99</v>
      </c>
      <c r="AX825" s="9">
        <v>110</v>
      </c>
      <c r="AY825" s="9">
        <v>111</v>
      </c>
      <c r="AZ825" s="9">
        <v>125</v>
      </c>
    </row>
    <row r="826" spans="2:52">
      <c r="B826" t="str">
        <f t="shared" si="60"/>
        <v>Jul</v>
      </c>
      <c r="C826" s="43">
        <f t="shared" si="61"/>
        <v>46229</v>
      </c>
      <c r="D826" s="44">
        <f t="shared" si="62"/>
        <v>46225</v>
      </c>
      <c r="E826" s="9" t="s">
        <v>40</v>
      </c>
      <c r="F826">
        <f t="shared" si="63"/>
        <v>0</v>
      </c>
      <c r="G826">
        <f t="shared" si="64"/>
        <v>51</v>
      </c>
      <c r="AJ826" s="40">
        <v>46225</v>
      </c>
      <c r="AK826" s="9" t="s">
        <v>205</v>
      </c>
      <c r="AL826" s="9" t="s">
        <v>40</v>
      </c>
      <c r="AM826" s="9"/>
      <c r="AN826" s="9">
        <v>81</v>
      </c>
      <c r="AO826" s="9">
        <v>80</v>
      </c>
      <c r="AP826" s="9">
        <v>0</v>
      </c>
      <c r="AQ826" s="9">
        <v>10</v>
      </c>
      <c r="AR826" s="9">
        <v>13</v>
      </c>
      <c r="AS826" s="9">
        <v>16</v>
      </c>
      <c r="AT826" s="9">
        <v>23</v>
      </c>
      <c r="AU826" s="9">
        <v>24</v>
      </c>
      <c r="AV826" s="9">
        <v>0</v>
      </c>
      <c r="AW826" s="9">
        <v>3</v>
      </c>
      <c r="AX826" s="9">
        <v>62</v>
      </c>
      <c r="AY826" s="9">
        <v>60</v>
      </c>
      <c r="AZ826" s="9">
        <v>63</v>
      </c>
    </row>
    <row r="827" spans="2:52">
      <c r="B827" t="str">
        <f t="shared" si="60"/>
        <v>Jul</v>
      </c>
      <c r="C827" s="43">
        <f t="shared" si="61"/>
        <v>46229</v>
      </c>
      <c r="D827" s="44">
        <f t="shared" si="62"/>
        <v>46225</v>
      </c>
      <c r="E827" s="9" t="s">
        <v>41</v>
      </c>
      <c r="F827">
        <f t="shared" si="63"/>
        <v>0</v>
      </c>
      <c r="G827">
        <f t="shared" si="64"/>
        <v>59</v>
      </c>
      <c r="AJ827" s="40">
        <v>46225</v>
      </c>
      <c r="AK827" s="9" t="s">
        <v>41</v>
      </c>
      <c r="AL827" s="9" t="s">
        <v>41</v>
      </c>
      <c r="AM827" s="9"/>
      <c r="AN827" s="9">
        <v>22</v>
      </c>
      <c r="AO827" s="9">
        <v>26</v>
      </c>
      <c r="AP827" s="9">
        <v>0</v>
      </c>
      <c r="AQ827" s="9">
        <v>5</v>
      </c>
      <c r="AR827" s="9">
        <v>10</v>
      </c>
      <c r="AS827" s="9">
        <v>8</v>
      </c>
      <c r="AT827" s="9">
        <v>10</v>
      </c>
      <c r="AU827" s="9">
        <v>70</v>
      </c>
      <c r="AV827" s="9">
        <v>71</v>
      </c>
      <c r="AW827" s="9">
        <v>71</v>
      </c>
      <c r="AX827" s="9">
        <v>74</v>
      </c>
      <c r="AY827" s="9">
        <v>71</v>
      </c>
      <c r="AZ827" s="9">
        <v>59</v>
      </c>
    </row>
    <row r="828" spans="2:52">
      <c r="B828" t="str">
        <f t="shared" si="60"/>
        <v>Jul</v>
      </c>
      <c r="C828" s="43">
        <f t="shared" si="61"/>
        <v>46229</v>
      </c>
      <c r="D828" s="44">
        <f t="shared" si="62"/>
        <v>46225</v>
      </c>
      <c r="E828" s="9" t="s">
        <v>45</v>
      </c>
      <c r="F828">
        <f t="shared" si="63"/>
        <v>0</v>
      </c>
      <c r="G828">
        <f t="shared" si="64"/>
        <v>13</v>
      </c>
      <c r="AJ828" s="40">
        <v>46225</v>
      </c>
      <c r="AK828" s="9" t="s">
        <v>202</v>
      </c>
      <c r="AL828" s="9" t="s">
        <v>45</v>
      </c>
      <c r="AM828" s="9"/>
      <c r="AN828" s="9">
        <v>38</v>
      </c>
      <c r="AO828" s="9">
        <v>0</v>
      </c>
      <c r="AP828" s="9">
        <v>29</v>
      </c>
      <c r="AQ828" s="9">
        <v>36</v>
      </c>
      <c r="AR828" s="9">
        <v>0</v>
      </c>
      <c r="AS828" s="9">
        <v>29</v>
      </c>
      <c r="AT828" s="9">
        <v>0</v>
      </c>
      <c r="AU828" s="9">
        <v>2</v>
      </c>
      <c r="AV828" s="9">
        <v>9</v>
      </c>
      <c r="AW828" s="9">
        <v>12</v>
      </c>
      <c r="AX828" s="9">
        <v>18</v>
      </c>
      <c r="AY828" s="9">
        <v>14</v>
      </c>
      <c r="AZ828" s="9">
        <v>17</v>
      </c>
    </row>
    <row r="829" spans="2:52">
      <c r="B829" t="str">
        <f t="shared" si="60"/>
        <v>Jul</v>
      </c>
      <c r="C829" s="43">
        <f t="shared" si="61"/>
        <v>46229</v>
      </c>
      <c r="D829" s="44">
        <f t="shared" si="62"/>
        <v>46225</v>
      </c>
      <c r="E829" s="9" t="s">
        <v>46</v>
      </c>
      <c r="F829">
        <f t="shared" si="63"/>
        <v>0</v>
      </c>
      <c r="G829">
        <f t="shared" si="64"/>
        <v>-13</v>
      </c>
      <c r="AJ829" s="40">
        <v>46225</v>
      </c>
      <c r="AK829" s="9" t="s">
        <v>202</v>
      </c>
      <c r="AL829" s="9" t="s">
        <v>46</v>
      </c>
      <c r="AM829" s="9"/>
      <c r="AN829" s="9">
        <v>26</v>
      </c>
      <c r="AO829" s="9">
        <v>30</v>
      </c>
      <c r="AP829" s="9">
        <v>0</v>
      </c>
      <c r="AQ829" s="9">
        <v>0</v>
      </c>
      <c r="AR829" s="9">
        <v>0</v>
      </c>
      <c r="AS829" s="9">
        <v>13</v>
      </c>
      <c r="AT829" s="9">
        <v>0</v>
      </c>
      <c r="AU829" s="9">
        <v>0</v>
      </c>
      <c r="AV829" s="9">
        <v>15</v>
      </c>
      <c r="AW829" s="9">
        <v>13</v>
      </c>
      <c r="AX829" s="9">
        <v>13</v>
      </c>
      <c r="AY829" s="9">
        <v>0</v>
      </c>
      <c r="AZ829" s="9">
        <v>0</v>
      </c>
    </row>
    <row r="830" spans="2:52">
      <c r="B830" t="str">
        <f t="shared" si="60"/>
        <v>Jul</v>
      </c>
      <c r="C830" s="43">
        <f t="shared" si="61"/>
        <v>46229</v>
      </c>
      <c r="D830" s="44">
        <f t="shared" si="62"/>
        <v>46225</v>
      </c>
      <c r="E830" s="9" t="s">
        <v>47</v>
      </c>
      <c r="F830">
        <f t="shared" si="63"/>
        <v>0</v>
      </c>
      <c r="G830">
        <f t="shared" si="64"/>
        <v>-65</v>
      </c>
      <c r="AJ830" s="40">
        <v>46225</v>
      </c>
      <c r="AK830" s="9" t="s">
        <v>202</v>
      </c>
      <c r="AL830" s="9" t="s">
        <v>47</v>
      </c>
      <c r="AM830" s="9"/>
      <c r="AN830" s="9">
        <v>34</v>
      </c>
      <c r="AO830" s="9">
        <v>1</v>
      </c>
      <c r="AP830" s="9">
        <v>0</v>
      </c>
      <c r="AQ830" s="9">
        <v>0</v>
      </c>
      <c r="AR830" s="9">
        <v>0</v>
      </c>
      <c r="AS830" s="9">
        <v>2</v>
      </c>
      <c r="AT830" s="9">
        <v>0</v>
      </c>
      <c r="AU830" s="9">
        <v>0</v>
      </c>
      <c r="AV830" s="9">
        <v>9</v>
      </c>
      <c r="AW830" s="9">
        <v>0</v>
      </c>
      <c r="AX830" s="9">
        <v>0</v>
      </c>
      <c r="AY830" s="9">
        <v>4</v>
      </c>
      <c r="AZ830" s="9">
        <v>0</v>
      </c>
    </row>
    <row r="831" spans="2:52">
      <c r="B831" t="str">
        <f t="shared" si="60"/>
        <v>Jul</v>
      </c>
      <c r="C831" s="43">
        <f t="shared" si="61"/>
        <v>46229</v>
      </c>
      <c r="D831" s="44">
        <f t="shared" si="62"/>
        <v>46225</v>
      </c>
      <c r="E831" s="9" t="s">
        <v>206</v>
      </c>
      <c r="F831">
        <f t="shared" si="63"/>
        <v>0</v>
      </c>
      <c r="G831">
        <f t="shared" si="64"/>
        <v>127</v>
      </c>
      <c r="AJ831" s="40">
        <v>46225</v>
      </c>
      <c r="AK831" s="9" t="s">
        <v>43</v>
      </c>
      <c r="AL831" s="9" t="s">
        <v>206</v>
      </c>
      <c r="AM831" s="9"/>
      <c r="AN831" s="9">
        <v>53</v>
      </c>
      <c r="AO831" s="9">
        <v>59</v>
      </c>
      <c r="AP831" s="9">
        <v>69</v>
      </c>
      <c r="AQ831" s="9">
        <v>78</v>
      </c>
      <c r="AR831" s="9">
        <v>78</v>
      </c>
      <c r="AS831" s="9">
        <v>101</v>
      </c>
      <c r="AT831" s="9">
        <v>104</v>
      </c>
      <c r="AU831" s="9">
        <v>107</v>
      </c>
      <c r="AV831" s="9">
        <v>112</v>
      </c>
      <c r="AW831" s="9">
        <v>117</v>
      </c>
      <c r="AX831" s="9">
        <v>127</v>
      </c>
      <c r="AY831" s="9">
        <v>128</v>
      </c>
      <c r="AZ831" s="9">
        <v>127</v>
      </c>
    </row>
    <row r="832" spans="2:52">
      <c r="B832" t="str">
        <f t="shared" si="60"/>
        <v>Jul</v>
      </c>
      <c r="C832" s="43">
        <f t="shared" si="61"/>
        <v>46229</v>
      </c>
      <c r="D832" s="44">
        <f t="shared" si="62"/>
        <v>46225</v>
      </c>
      <c r="E832" s="9" t="s">
        <v>207</v>
      </c>
      <c r="F832">
        <f t="shared" si="63"/>
        <v>0</v>
      </c>
      <c r="G832">
        <f t="shared" si="64"/>
        <v>0</v>
      </c>
      <c r="AJ832" s="40">
        <v>46225</v>
      </c>
      <c r="AK832" s="9" t="s">
        <v>203</v>
      </c>
      <c r="AL832" s="9" t="s">
        <v>207</v>
      </c>
      <c r="AM832" s="9"/>
      <c r="AN832" s="9">
        <v>124</v>
      </c>
      <c r="AO832" s="9">
        <v>0</v>
      </c>
      <c r="AP832" s="9">
        <v>0</v>
      </c>
      <c r="AQ832" s="9">
        <v>9</v>
      </c>
      <c r="AR832" s="9">
        <v>5</v>
      </c>
      <c r="AS832" s="9">
        <v>0</v>
      </c>
      <c r="AT832" s="9">
        <v>8</v>
      </c>
      <c r="AU832" s="9">
        <v>7</v>
      </c>
      <c r="AV832" s="9">
        <v>16</v>
      </c>
      <c r="AW832" s="9">
        <v>9</v>
      </c>
      <c r="AX832" s="9">
        <v>0</v>
      </c>
      <c r="AY832" s="9">
        <v>12</v>
      </c>
      <c r="AZ832" s="9">
        <v>0</v>
      </c>
    </row>
    <row r="833" spans="2:52">
      <c r="B833" t="str">
        <f t="shared" si="60"/>
        <v>Jul</v>
      </c>
      <c r="C833" s="43">
        <f t="shared" si="61"/>
        <v>46229</v>
      </c>
      <c r="D833" s="44">
        <f t="shared" si="62"/>
        <v>46225</v>
      </c>
      <c r="E833" s="9" t="s">
        <v>42</v>
      </c>
      <c r="F833">
        <f t="shared" si="63"/>
        <v>0</v>
      </c>
      <c r="G833">
        <f t="shared" si="64"/>
        <v>-55</v>
      </c>
      <c r="AJ833" s="40">
        <v>46225</v>
      </c>
      <c r="AK833" s="9" t="s">
        <v>42</v>
      </c>
      <c r="AL833" s="9" t="s">
        <v>42</v>
      </c>
      <c r="AM833" s="9"/>
      <c r="AN833" s="9">
        <v>38</v>
      </c>
      <c r="AO833" s="9">
        <v>38</v>
      </c>
      <c r="AP833" s="9">
        <v>45</v>
      </c>
      <c r="AQ833" s="9">
        <v>0</v>
      </c>
      <c r="AR833" s="9">
        <v>3</v>
      </c>
      <c r="AS833" s="9">
        <v>0</v>
      </c>
      <c r="AT833" s="9">
        <v>5</v>
      </c>
      <c r="AU833" s="9">
        <v>11</v>
      </c>
      <c r="AV833" s="9">
        <v>18</v>
      </c>
      <c r="AW833" s="9">
        <v>16</v>
      </c>
      <c r="AX833" s="9">
        <v>15</v>
      </c>
      <c r="AY833" s="9">
        <v>17</v>
      </c>
      <c r="AZ833" s="9">
        <v>18</v>
      </c>
    </row>
    <row r="834" spans="2:52">
      <c r="B834" t="str">
        <f t="shared" si="60"/>
        <v>Jul</v>
      </c>
      <c r="C834" s="43">
        <f t="shared" si="61"/>
        <v>46229</v>
      </c>
      <c r="D834" s="44">
        <f t="shared" si="62"/>
        <v>46226</v>
      </c>
      <c r="E834" s="9" t="s">
        <v>31</v>
      </c>
      <c r="F834">
        <f t="shared" si="63"/>
        <v>0</v>
      </c>
      <c r="G834">
        <f t="shared" si="64"/>
        <v>-10</v>
      </c>
      <c r="AJ834" s="40">
        <v>46226</v>
      </c>
      <c r="AK834" s="9" t="s">
        <v>204</v>
      </c>
      <c r="AL834" s="9" t="s">
        <v>31</v>
      </c>
      <c r="AM834" s="9"/>
      <c r="AN834" s="9">
        <v>0</v>
      </c>
      <c r="AO834" s="9">
        <v>0</v>
      </c>
      <c r="AP834" s="9">
        <v>9</v>
      </c>
      <c r="AQ834" s="9">
        <v>14</v>
      </c>
      <c r="AR834" s="9">
        <v>22</v>
      </c>
      <c r="AS834" s="9">
        <v>6</v>
      </c>
      <c r="AT834" s="9">
        <v>21</v>
      </c>
      <c r="AU834" s="9">
        <v>13</v>
      </c>
      <c r="AV834" s="9">
        <v>0</v>
      </c>
      <c r="AW834" s="9">
        <v>65</v>
      </c>
      <c r="AX834" s="9">
        <v>58</v>
      </c>
      <c r="AY834" s="9">
        <v>0</v>
      </c>
      <c r="AZ834" s="9">
        <v>5</v>
      </c>
    </row>
    <row r="835" spans="2:52">
      <c r="B835" t="str">
        <f t="shared" si="60"/>
        <v>Jul</v>
      </c>
      <c r="C835" s="43">
        <f t="shared" si="61"/>
        <v>46229</v>
      </c>
      <c r="D835" s="44">
        <f t="shared" si="62"/>
        <v>46226</v>
      </c>
      <c r="E835" s="9" t="s">
        <v>39</v>
      </c>
      <c r="F835">
        <f t="shared" si="63"/>
        <v>0</v>
      </c>
      <c r="G835">
        <f t="shared" si="64"/>
        <v>-87</v>
      </c>
      <c r="AJ835" s="40">
        <v>46226</v>
      </c>
      <c r="AK835" s="9" t="s">
        <v>205</v>
      </c>
      <c r="AL835" s="9" t="s">
        <v>39</v>
      </c>
      <c r="AM835" s="9"/>
      <c r="AN835" s="9">
        <v>0</v>
      </c>
      <c r="AO835" s="9">
        <v>4</v>
      </c>
      <c r="AP835" s="9">
        <v>4</v>
      </c>
      <c r="AQ835" s="9">
        <v>0</v>
      </c>
      <c r="AR835" s="9">
        <v>0</v>
      </c>
      <c r="AS835" s="9">
        <v>17</v>
      </c>
      <c r="AT835" s="9">
        <v>14</v>
      </c>
      <c r="AU835" s="9">
        <v>10</v>
      </c>
      <c r="AV835" s="9">
        <v>11</v>
      </c>
      <c r="AW835" s="9">
        <v>10</v>
      </c>
      <c r="AX835" s="9">
        <v>0</v>
      </c>
      <c r="AY835" s="9">
        <v>37</v>
      </c>
      <c r="AZ835" s="9">
        <v>38</v>
      </c>
    </row>
    <row r="836" spans="2:52">
      <c r="B836" t="str">
        <f t="shared" si="60"/>
        <v>Jul</v>
      </c>
      <c r="C836" s="43">
        <f t="shared" si="61"/>
        <v>46229</v>
      </c>
      <c r="D836" s="44">
        <f t="shared" si="62"/>
        <v>46226</v>
      </c>
      <c r="E836" s="9" t="s">
        <v>40</v>
      </c>
      <c r="F836">
        <f t="shared" si="63"/>
        <v>0</v>
      </c>
      <c r="G836">
        <f t="shared" si="64"/>
        <v>-29</v>
      </c>
      <c r="AJ836" s="40">
        <v>46226</v>
      </c>
      <c r="AK836" s="9" t="s">
        <v>205</v>
      </c>
      <c r="AL836" s="9" t="s">
        <v>40</v>
      </c>
      <c r="AM836" s="9"/>
      <c r="AN836" s="9">
        <v>43</v>
      </c>
      <c r="AO836" s="9">
        <v>34</v>
      </c>
      <c r="AP836" s="9">
        <v>29</v>
      </c>
      <c r="AQ836" s="9">
        <v>19</v>
      </c>
      <c r="AR836" s="9">
        <v>13</v>
      </c>
      <c r="AS836" s="9">
        <v>18</v>
      </c>
      <c r="AT836" s="9">
        <v>13</v>
      </c>
      <c r="AU836" s="9">
        <v>3</v>
      </c>
      <c r="AV836" s="9">
        <v>0</v>
      </c>
      <c r="AW836" s="9">
        <v>2</v>
      </c>
      <c r="AX836" s="9">
        <v>13</v>
      </c>
      <c r="AY836" s="9">
        <v>19</v>
      </c>
      <c r="AZ836" s="9">
        <v>34</v>
      </c>
    </row>
    <row r="837" spans="2:52">
      <c r="B837" t="str">
        <f t="shared" ref="B837:B900" si="65">TEXT(C837,"MMM")</f>
        <v>Jul</v>
      </c>
      <c r="C837" s="43">
        <f t="shared" ref="C837:C900" si="66">AJ837+(8-WEEKDAY(AJ837))</f>
        <v>46229</v>
      </c>
      <c r="D837" s="44">
        <f t="shared" ref="D837:D900" si="67">AJ837</f>
        <v>46226</v>
      </c>
      <c r="E837" s="9" t="s">
        <v>41</v>
      </c>
      <c r="F837">
        <f t="shared" ref="F837:F900" si="68">IF(SUM(V837:AI837)&lt;=0,0,SUM(V837:AI837))</f>
        <v>0</v>
      </c>
      <c r="G837">
        <f t="shared" si="64"/>
        <v>-59</v>
      </c>
      <c r="AJ837" s="40">
        <v>46226</v>
      </c>
      <c r="AK837" s="9" t="s">
        <v>41</v>
      </c>
      <c r="AL837" s="9" t="s">
        <v>41</v>
      </c>
      <c r="AM837" s="9"/>
      <c r="AN837" s="9">
        <v>18</v>
      </c>
      <c r="AO837" s="9">
        <v>18</v>
      </c>
      <c r="AP837" s="9">
        <v>0</v>
      </c>
      <c r="AQ837" s="9">
        <v>0</v>
      </c>
      <c r="AR837" s="9">
        <v>0</v>
      </c>
      <c r="AS837" s="9">
        <v>5</v>
      </c>
      <c r="AT837" s="9">
        <v>6</v>
      </c>
      <c r="AU837" s="9">
        <v>9</v>
      </c>
      <c r="AV837" s="9">
        <v>5</v>
      </c>
      <c r="AW837" s="9">
        <v>6</v>
      </c>
      <c r="AX837" s="9">
        <v>0</v>
      </c>
      <c r="AY837" s="9">
        <v>2</v>
      </c>
      <c r="AZ837" s="9">
        <v>0</v>
      </c>
    </row>
    <row r="838" spans="2:52">
      <c r="B838" t="str">
        <f t="shared" si="65"/>
        <v>Jul</v>
      </c>
      <c r="C838" s="43">
        <f t="shared" si="66"/>
        <v>46229</v>
      </c>
      <c r="D838" s="44">
        <f t="shared" si="67"/>
        <v>46226</v>
      </c>
      <c r="E838" s="9" t="s">
        <v>45</v>
      </c>
      <c r="F838">
        <f t="shared" si="68"/>
        <v>0</v>
      </c>
      <c r="G838">
        <f t="shared" si="64"/>
        <v>-17</v>
      </c>
      <c r="AJ838" s="40">
        <v>46226</v>
      </c>
      <c r="AK838" s="9" t="s">
        <v>202</v>
      </c>
      <c r="AL838" s="9" t="s">
        <v>45</v>
      </c>
      <c r="AM838" s="9"/>
      <c r="AN838" s="9">
        <v>42</v>
      </c>
      <c r="AO838" s="9">
        <v>46</v>
      </c>
      <c r="AP838" s="9">
        <v>19</v>
      </c>
      <c r="AQ838" s="9">
        <v>0</v>
      </c>
      <c r="AR838" s="9">
        <v>14</v>
      </c>
      <c r="AS838" s="9">
        <v>0</v>
      </c>
      <c r="AT838" s="9">
        <v>5</v>
      </c>
      <c r="AU838" s="9">
        <v>5</v>
      </c>
      <c r="AV838" s="9">
        <v>9</v>
      </c>
      <c r="AW838" s="9">
        <v>0</v>
      </c>
      <c r="AX838" s="9">
        <v>0</v>
      </c>
      <c r="AY838" s="9">
        <v>5</v>
      </c>
      <c r="AZ838" s="9">
        <v>0</v>
      </c>
    </row>
    <row r="839" spans="2:52">
      <c r="B839" t="str">
        <f t="shared" si="65"/>
        <v>Jul</v>
      </c>
      <c r="C839" s="43">
        <f t="shared" si="66"/>
        <v>46229</v>
      </c>
      <c r="D839" s="44">
        <f t="shared" si="67"/>
        <v>46226</v>
      </c>
      <c r="E839" s="9" t="s">
        <v>46</v>
      </c>
      <c r="F839">
        <f t="shared" si="68"/>
        <v>0</v>
      </c>
      <c r="G839">
        <f t="shared" si="64"/>
        <v>36</v>
      </c>
      <c r="AJ839" s="40">
        <v>46226</v>
      </c>
      <c r="AK839" s="9" t="s">
        <v>202</v>
      </c>
      <c r="AL839" s="9" t="s">
        <v>46</v>
      </c>
      <c r="AM839" s="9"/>
      <c r="AN839" s="9">
        <v>7</v>
      </c>
      <c r="AO839" s="9">
        <v>7</v>
      </c>
      <c r="AP839" s="9">
        <v>5</v>
      </c>
      <c r="AQ839" s="9">
        <v>0</v>
      </c>
      <c r="AR839" s="9">
        <v>11</v>
      </c>
      <c r="AS839" s="9">
        <v>8</v>
      </c>
      <c r="AT839" s="9">
        <v>24</v>
      </c>
      <c r="AU839" s="9">
        <v>23</v>
      </c>
      <c r="AV839" s="9">
        <v>24</v>
      </c>
      <c r="AW839" s="9">
        <v>28</v>
      </c>
      <c r="AX839" s="9">
        <v>30</v>
      </c>
      <c r="AY839" s="9">
        <v>34</v>
      </c>
      <c r="AZ839" s="9">
        <v>36</v>
      </c>
    </row>
    <row r="840" spans="2:52">
      <c r="B840" t="str">
        <f t="shared" si="65"/>
        <v>Jul</v>
      </c>
      <c r="C840" s="43">
        <f t="shared" si="66"/>
        <v>46229</v>
      </c>
      <c r="D840" s="44">
        <f t="shared" si="67"/>
        <v>46226</v>
      </c>
      <c r="E840" s="9" t="s">
        <v>47</v>
      </c>
      <c r="F840">
        <f t="shared" si="68"/>
        <v>0</v>
      </c>
      <c r="G840">
        <f t="shared" si="64"/>
        <v>1</v>
      </c>
      <c r="AJ840" s="40">
        <v>46226</v>
      </c>
      <c r="AK840" s="9" t="s">
        <v>202</v>
      </c>
      <c r="AL840" s="9" t="s">
        <v>47</v>
      </c>
      <c r="AM840" s="9"/>
      <c r="AN840" s="9">
        <v>107</v>
      </c>
      <c r="AO840" s="9">
        <v>159</v>
      </c>
      <c r="AP840" s="9">
        <v>0</v>
      </c>
      <c r="AQ840" s="9">
        <v>0</v>
      </c>
      <c r="AR840" s="9">
        <v>14</v>
      </c>
      <c r="AS840" s="9">
        <v>12</v>
      </c>
      <c r="AT840" s="9">
        <v>12</v>
      </c>
      <c r="AU840" s="9">
        <v>16</v>
      </c>
      <c r="AV840" s="9">
        <v>14</v>
      </c>
      <c r="AW840" s="9">
        <v>0</v>
      </c>
      <c r="AX840" s="9">
        <v>0</v>
      </c>
      <c r="AY840" s="9">
        <v>0</v>
      </c>
      <c r="AZ840" s="9">
        <v>1</v>
      </c>
    </row>
    <row r="841" spans="2:52">
      <c r="B841" t="str">
        <f t="shared" si="65"/>
        <v>Jul</v>
      </c>
      <c r="C841" s="43">
        <f t="shared" si="66"/>
        <v>46229</v>
      </c>
      <c r="D841" s="44">
        <f t="shared" si="67"/>
        <v>46226</v>
      </c>
      <c r="E841" s="9" t="s">
        <v>206</v>
      </c>
      <c r="F841">
        <f t="shared" si="68"/>
        <v>0</v>
      </c>
      <c r="G841">
        <f t="shared" si="64"/>
        <v>-94</v>
      </c>
      <c r="AJ841" s="40">
        <v>46226</v>
      </c>
      <c r="AK841" s="9" t="s">
        <v>43</v>
      </c>
      <c r="AL841" s="9" t="s">
        <v>206</v>
      </c>
      <c r="AM841" s="9"/>
      <c r="AN841" s="9">
        <v>57</v>
      </c>
      <c r="AO841" s="9">
        <v>0</v>
      </c>
      <c r="AP841" s="9">
        <v>5</v>
      </c>
      <c r="AQ841" s="9">
        <v>0</v>
      </c>
      <c r="AR841" s="9">
        <v>3</v>
      </c>
      <c r="AS841" s="9">
        <v>6</v>
      </c>
      <c r="AT841" s="9">
        <v>15</v>
      </c>
      <c r="AU841" s="9">
        <v>9</v>
      </c>
      <c r="AV841" s="9">
        <v>14</v>
      </c>
      <c r="AW841" s="9">
        <v>12</v>
      </c>
      <c r="AX841" s="9">
        <v>8</v>
      </c>
      <c r="AY841" s="9">
        <v>0</v>
      </c>
      <c r="AZ841" s="9">
        <v>33</v>
      </c>
    </row>
    <row r="842" spans="2:52">
      <c r="B842" t="str">
        <f t="shared" si="65"/>
        <v>Jul</v>
      </c>
      <c r="C842" s="43">
        <f t="shared" si="66"/>
        <v>46229</v>
      </c>
      <c r="D842" s="44">
        <f t="shared" si="67"/>
        <v>46226</v>
      </c>
      <c r="E842" s="9" t="s">
        <v>207</v>
      </c>
      <c r="F842">
        <f t="shared" si="68"/>
        <v>0</v>
      </c>
      <c r="G842">
        <f t="shared" si="64"/>
        <v>0</v>
      </c>
      <c r="AJ842" s="40">
        <v>46226</v>
      </c>
      <c r="AK842" s="9" t="s">
        <v>203</v>
      </c>
      <c r="AL842" s="9" t="s">
        <v>207</v>
      </c>
      <c r="AM842" s="9"/>
      <c r="AN842" s="9">
        <v>87</v>
      </c>
      <c r="AO842" s="9">
        <v>0</v>
      </c>
      <c r="AP842" s="9">
        <v>4</v>
      </c>
      <c r="AQ842" s="9">
        <v>0</v>
      </c>
      <c r="AR842" s="9">
        <v>3</v>
      </c>
      <c r="AS842" s="9">
        <v>6</v>
      </c>
      <c r="AT842" s="9">
        <v>0</v>
      </c>
      <c r="AU842" s="9">
        <v>0</v>
      </c>
      <c r="AV842" s="9">
        <v>0</v>
      </c>
      <c r="AW842" s="9">
        <v>0</v>
      </c>
      <c r="AX842" s="9">
        <v>1</v>
      </c>
      <c r="AY842" s="9">
        <v>0</v>
      </c>
      <c r="AZ842" s="9">
        <v>0</v>
      </c>
    </row>
    <row r="843" spans="2:52">
      <c r="B843" t="str">
        <f t="shared" si="65"/>
        <v>Jul</v>
      </c>
      <c r="C843" s="43">
        <f t="shared" si="66"/>
        <v>46229</v>
      </c>
      <c r="D843" s="44">
        <f t="shared" si="67"/>
        <v>46226</v>
      </c>
      <c r="E843" s="9" t="s">
        <v>42</v>
      </c>
      <c r="F843">
        <f t="shared" si="68"/>
        <v>0</v>
      </c>
      <c r="G843">
        <f t="shared" si="64"/>
        <v>-3</v>
      </c>
      <c r="AJ843" s="40">
        <v>46226</v>
      </c>
      <c r="AK843" s="9" t="s">
        <v>42</v>
      </c>
      <c r="AL843" s="9" t="s">
        <v>42</v>
      </c>
      <c r="AM843" s="9"/>
      <c r="AN843" s="9">
        <v>30</v>
      </c>
      <c r="AO843" s="9">
        <v>57</v>
      </c>
      <c r="AP843" s="9">
        <v>0</v>
      </c>
      <c r="AQ843" s="9">
        <v>3</v>
      </c>
      <c r="AR843" s="9">
        <v>0</v>
      </c>
      <c r="AS843" s="9">
        <v>19</v>
      </c>
      <c r="AT843" s="9">
        <v>17</v>
      </c>
      <c r="AU843" s="9">
        <v>11</v>
      </c>
      <c r="AV843" s="9">
        <v>11</v>
      </c>
      <c r="AW843" s="9">
        <v>13</v>
      </c>
      <c r="AX843" s="9">
        <v>8</v>
      </c>
      <c r="AY843" s="9">
        <v>15</v>
      </c>
      <c r="AZ843" s="9">
        <v>15</v>
      </c>
    </row>
    <row r="844" spans="2:52">
      <c r="B844" t="str">
        <f t="shared" si="65"/>
        <v>Jul</v>
      </c>
      <c r="C844" s="43">
        <f t="shared" si="66"/>
        <v>46229</v>
      </c>
      <c r="D844" s="44">
        <f t="shared" si="67"/>
        <v>46227</v>
      </c>
      <c r="E844" s="9" t="s">
        <v>31</v>
      </c>
      <c r="F844">
        <f t="shared" si="68"/>
        <v>0</v>
      </c>
      <c r="G844">
        <f t="shared" si="64"/>
        <v>65</v>
      </c>
      <c r="AJ844" s="40">
        <v>46227</v>
      </c>
      <c r="AK844" s="9" t="s">
        <v>204</v>
      </c>
      <c r="AL844" s="9" t="s">
        <v>31</v>
      </c>
      <c r="AM844" s="9"/>
      <c r="AN844" s="9">
        <v>117</v>
      </c>
      <c r="AO844" s="9">
        <v>115</v>
      </c>
      <c r="AP844" s="9">
        <v>120</v>
      </c>
      <c r="AQ844" s="9">
        <v>135</v>
      </c>
      <c r="AR844" s="9">
        <v>0</v>
      </c>
      <c r="AS844" s="9">
        <v>33</v>
      </c>
      <c r="AT844" s="9">
        <v>16</v>
      </c>
      <c r="AU844" s="9">
        <v>18</v>
      </c>
      <c r="AV844" s="9">
        <v>19</v>
      </c>
      <c r="AW844" s="9">
        <v>19</v>
      </c>
      <c r="AX844" s="9">
        <v>18</v>
      </c>
      <c r="AY844" s="9">
        <v>0</v>
      </c>
      <c r="AZ844" s="9">
        <v>70</v>
      </c>
    </row>
    <row r="845" spans="2:52">
      <c r="B845" t="str">
        <f t="shared" si="65"/>
        <v>Jul</v>
      </c>
      <c r="C845" s="43">
        <f t="shared" si="66"/>
        <v>46229</v>
      </c>
      <c r="D845" s="44">
        <f t="shared" si="67"/>
        <v>46227</v>
      </c>
      <c r="E845" s="9" t="s">
        <v>39</v>
      </c>
      <c r="F845">
        <f t="shared" si="68"/>
        <v>0</v>
      </c>
      <c r="G845">
        <f t="shared" si="64"/>
        <v>96</v>
      </c>
      <c r="AJ845" s="40">
        <v>46227</v>
      </c>
      <c r="AK845" s="9" t="s">
        <v>205</v>
      </c>
      <c r="AL845" s="9" t="s">
        <v>39</v>
      </c>
      <c r="AM845" s="9"/>
      <c r="AN845" s="9">
        <v>122</v>
      </c>
      <c r="AO845" s="9">
        <v>114</v>
      </c>
      <c r="AP845" s="9">
        <v>131</v>
      </c>
      <c r="AQ845" s="9">
        <v>144</v>
      </c>
      <c r="AR845" s="9">
        <v>138</v>
      </c>
      <c r="AS845" s="9">
        <v>149</v>
      </c>
      <c r="AT845" s="9">
        <v>141</v>
      </c>
      <c r="AU845" s="9">
        <v>138</v>
      </c>
      <c r="AV845" s="9">
        <v>128</v>
      </c>
      <c r="AW845" s="9">
        <v>124</v>
      </c>
      <c r="AX845" s="9">
        <v>116</v>
      </c>
      <c r="AY845" s="9">
        <v>129</v>
      </c>
      <c r="AZ845" s="9">
        <v>134</v>
      </c>
    </row>
    <row r="846" spans="2:52">
      <c r="B846" t="str">
        <f t="shared" si="65"/>
        <v>Jul</v>
      </c>
      <c r="C846" s="43">
        <f t="shared" si="66"/>
        <v>46229</v>
      </c>
      <c r="D846" s="44">
        <f t="shared" si="67"/>
        <v>46227</v>
      </c>
      <c r="E846" s="9" t="s">
        <v>40</v>
      </c>
      <c r="F846">
        <f t="shared" si="68"/>
        <v>0</v>
      </c>
      <c r="G846">
        <f t="shared" si="64"/>
        <v>56</v>
      </c>
      <c r="AJ846" s="40">
        <v>46227</v>
      </c>
      <c r="AK846" s="9" t="s">
        <v>205</v>
      </c>
      <c r="AL846" s="9" t="s">
        <v>40</v>
      </c>
      <c r="AM846" s="9"/>
      <c r="AN846" s="9">
        <v>36</v>
      </c>
      <c r="AO846" s="9">
        <v>33</v>
      </c>
      <c r="AP846" s="9">
        <v>38</v>
      </c>
      <c r="AQ846" s="9">
        <v>47</v>
      </c>
      <c r="AR846" s="9">
        <v>46</v>
      </c>
      <c r="AS846" s="9">
        <v>40</v>
      </c>
      <c r="AT846" s="9">
        <v>39</v>
      </c>
      <c r="AU846" s="9">
        <v>41</v>
      </c>
      <c r="AV846" s="9">
        <v>52</v>
      </c>
      <c r="AW846" s="9">
        <v>44</v>
      </c>
      <c r="AX846" s="9">
        <v>88</v>
      </c>
      <c r="AY846" s="9">
        <v>87</v>
      </c>
      <c r="AZ846" s="9">
        <v>90</v>
      </c>
    </row>
    <row r="847" spans="2:52">
      <c r="B847" t="str">
        <f t="shared" si="65"/>
        <v>Jul</v>
      </c>
      <c r="C847" s="43">
        <f t="shared" si="66"/>
        <v>46229</v>
      </c>
      <c r="D847" s="44">
        <f t="shared" si="67"/>
        <v>46227</v>
      </c>
      <c r="E847" s="9" t="s">
        <v>41</v>
      </c>
      <c r="F847">
        <f t="shared" si="68"/>
        <v>0</v>
      </c>
      <c r="G847">
        <f t="shared" ref="G847:G910" si="69">SUM(H847:U847)+AZ847-AZ837</f>
        <v>12</v>
      </c>
      <c r="AJ847" s="40">
        <v>46227</v>
      </c>
      <c r="AK847" s="9" t="s">
        <v>41</v>
      </c>
      <c r="AL847" s="9" t="s">
        <v>41</v>
      </c>
      <c r="AM847" s="9"/>
      <c r="AN847" s="9">
        <v>0</v>
      </c>
      <c r="AO847" s="9">
        <v>85</v>
      </c>
      <c r="AP847" s="9">
        <v>90</v>
      </c>
      <c r="AQ847" s="9">
        <v>92</v>
      </c>
      <c r="AR847" s="9">
        <v>69</v>
      </c>
      <c r="AS847" s="9">
        <v>72</v>
      </c>
      <c r="AT847" s="9">
        <v>0</v>
      </c>
      <c r="AU847" s="9">
        <v>0</v>
      </c>
      <c r="AV847" s="9">
        <v>1</v>
      </c>
      <c r="AW847" s="9">
        <v>4</v>
      </c>
      <c r="AX847" s="9">
        <v>0</v>
      </c>
      <c r="AY847" s="9">
        <v>13</v>
      </c>
      <c r="AZ847" s="9">
        <v>12</v>
      </c>
    </row>
    <row r="848" spans="2:52">
      <c r="B848" t="str">
        <f t="shared" si="65"/>
        <v>Jul</v>
      </c>
      <c r="C848" s="43">
        <f t="shared" si="66"/>
        <v>46229</v>
      </c>
      <c r="D848" s="44">
        <f t="shared" si="67"/>
        <v>46227</v>
      </c>
      <c r="E848" s="9" t="s">
        <v>45</v>
      </c>
      <c r="F848">
        <f t="shared" si="68"/>
        <v>0</v>
      </c>
      <c r="G848">
        <f t="shared" si="69"/>
        <v>42</v>
      </c>
      <c r="AJ848" s="40">
        <v>46227</v>
      </c>
      <c r="AK848" s="9" t="s">
        <v>202</v>
      </c>
      <c r="AL848" s="9" t="s">
        <v>45</v>
      </c>
      <c r="AM848" s="9"/>
      <c r="AN848" s="9">
        <v>50</v>
      </c>
      <c r="AO848" s="9">
        <v>0</v>
      </c>
      <c r="AP848" s="9">
        <v>0</v>
      </c>
      <c r="AQ848" s="9">
        <v>8</v>
      </c>
      <c r="AR848" s="9">
        <v>12</v>
      </c>
      <c r="AS848" s="9">
        <v>38</v>
      </c>
      <c r="AT848" s="9">
        <v>36</v>
      </c>
      <c r="AU848" s="9">
        <v>41</v>
      </c>
      <c r="AV848" s="9">
        <v>48</v>
      </c>
      <c r="AW848" s="9">
        <v>41</v>
      </c>
      <c r="AX848" s="9">
        <v>36</v>
      </c>
      <c r="AY848" s="9">
        <v>42</v>
      </c>
      <c r="AZ848" s="9">
        <v>42</v>
      </c>
    </row>
    <row r="849" spans="2:52">
      <c r="B849" t="str">
        <f t="shared" si="65"/>
        <v>Jul</v>
      </c>
      <c r="C849" s="43">
        <f t="shared" si="66"/>
        <v>46229</v>
      </c>
      <c r="D849" s="44">
        <f t="shared" si="67"/>
        <v>46227</v>
      </c>
      <c r="E849" s="9" t="s">
        <v>46</v>
      </c>
      <c r="F849">
        <f t="shared" si="68"/>
        <v>0</v>
      </c>
      <c r="G849">
        <f t="shared" si="69"/>
        <v>43</v>
      </c>
      <c r="AJ849" s="40">
        <v>46227</v>
      </c>
      <c r="AK849" s="9" t="s">
        <v>202</v>
      </c>
      <c r="AL849" s="9" t="s">
        <v>46</v>
      </c>
      <c r="AM849" s="9"/>
      <c r="AN849" s="9">
        <v>0</v>
      </c>
      <c r="AO849" s="9">
        <v>0</v>
      </c>
      <c r="AP849" s="9">
        <v>4</v>
      </c>
      <c r="AQ849" s="9">
        <v>4</v>
      </c>
      <c r="AR849" s="9">
        <v>0</v>
      </c>
      <c r="AS849" s="9">
        <v>14</v>
      </c>
      <c r="AT849" s="9">
        <v>68</v>
      </c>
      <c r="AU849" s="9">
        <v>71</v>
      </c>
      <c r="AV849" s="9">
        <v>75</v>
      </c>
      <c r="AW849" s="9">
        <v>80</v>
      </c>
      <c r="AX849" s="9">
        <v>81</v>
      </c>
      <c r="AY849" s="9">
        <v>83</v>
      </c>
      <c r="AZ849" s="9">
        <v>79</v>
      </c>
    </row>
    <row r="850" spans="2:52">
      <c r="B850" t="str">
        <f t="shared" si="65"/>
        <v>Jul</v>
      </c>
      <c r="C850" s="43">
        <f t="shared" si="66"/>
        <v>46229</v>
      </c>
      <c r="D850" s="44">
        <f t="shared" si="67"/>
        <v>46227</v>
      </c>
      <c r="E850" s="9" t="s">
        <v>47</v>
      </c>
      <c r="F850">
        <f t="shared" si="68"/>
        <v>0</v>
      </c>
      <c r="G850">
        <f t="shared" si="69"/>
        <v>3</v>
      </c>
      <c r="AJ850" s="40">
        <v>46227</v>
      </c>
      <c r="AK850" s="9" t="s">
        <v>202</v>
      </c>
      <c r="AL850" s="9" t="s">
        <v>47</v>
      </c>
      <c r="AM850" s="9"/>
      <c r="AN850" s="9">
        <v>7</v>
      </c>
      <c r="AO850" s="9">
        <v>3</v>
      </c>
      <c r="AP850" s="9">
        <v>0</v>
      </c>
      <c r="AQ850" s="9">
        <v>8</v>
      </c>
      <c r="AR850" s="9">
        <v>0</v>
      </c>
      <c r="AS850" s="9">
        <v>0</v>
      </c>
      <c r="AT850" s="9">
        <v>15</v>
      </c>
      <c r="AU850" s="9">
        <v>28</v>
      </c>
      <c r="AV850" s="9">
        <v>0</v>
      </c>
      <c r="AW850" s="9">
        <v>9</v>
      </c>
      <c r="AX850" s="9">
        <v>0</v>
      </c>
      <c r="AY850" s="9">
        <v>2</v>
      </c>
      <c r="AZ850" s="9">
        <v>4</v>
      </c>
    </row>
    <row r="851" spans="2:52">
      <c r="B851" t="str">
        <f t="shared" si="65"/>
        <v>Jul</v>
      </c>
      <c r="C851" s="43">
        <f t="shared" si="66"/>
        <v>46229</v>
      </c>
      <c r="D851" s="44">
        <f t="shared" si="67"/>
        <v>46227</v>
      </c>
      <c r="E851" s="9" t="s">
        <v>206</v>
      </c>
      <c r="F851">
        <f t="shared" si="68"/>
        <v>0</v>
      </c>
      <c r="G851">
        <f t="shared" si="69"/>
        <v>-33</v>
      </c>
      <c r="AJ851" s="40">
        <v>46227</v>
      </c>
      <c r="AK851" s="9" t="s">
        <v>43</v>
      </c>
      <c r="AL851" s="9" t="s">
        <v>206</v>
      </c>
      <c r="AM851" s="9"/>
      <c r="AN851" s="9">
        <v>133</v>
      </c>
      <c r="AO851" s="9">
        <v>159</v>
      </c>
      <c r="AP851" s="9">
        <v>156</v>
      </c>
      <c r="AQ851" s="9">
        <v>138</v>
      </c>
      <c r="AR851" s="9">
        <v>138</v>
      </c>
      <c r="AS851" s="9">
        <v>137</v>
      </c>
      <c r="AT851" s="9">
        <v>156</v>
      </c>
      <c r="AU851" s="9">
        <v>195</v>
      </c>
      <c r="AV851" s="9">
        <v>200</v>
      </c>
      <c r="AW851" s="9">
        <v>209</v>
      </c>
      <c r="AX851" s="9">
        <v>228</v>
      </c>
      <c r="AY851" s="9">
        <v>224</v>
      </c>
      <c r="AZ851" s="9">
        <v>0</v>
      </c>
    </row>
    <row r="852" spans="2:52">
      <c r="B852" t="str">
        <f t="shared" si="65"/>
        <v>Jul</v>
      </c>
      <c r="C852" s="43">
        <f t="shared" si="66"/>
        <v>46229</v>
      </c>
      <c r="D852" s="44">
        <f t="shared" si="67"/>
        <v>46227</v>
      </c>
      <c r="E852" s="9" t="s">
        <v>207</v>
      </c>
      <c r="F852">
        <f t="shared" si="68"/>
        <v>0</v>
      </c>
      <c r="G852">
        <f t="shared" si="69"/>
        <v>29</v>
      </c>
      <c r="AJ852" s="40">
        <v>46227</v>
      </c>
      <c r="AK852" s="9" t="s">
        <v>203</v>
      </c>
      <c r="AL852" s="9" t="s">
        <v>207</v>
      </c>
      <c r="AM852" s="9"/>
      <c r="AN852" s="9">
        <v>0</v>
      </c>
      <c r="AO852" s="9">
        <v>0</v>
      </c>
      <c r="AP852" s="9">
        <v>30</v>
      </c>
      <c r="AQ852" s="9">
        <v>39</v>
      </c>
      <c r="AR852" s="9">
        <v>41</v>
      </c>
      <c r="AS852" s="9">
        <v>48</v>
      </c>
      <c r="AT852" s="9">
        <v>57</v>
      </c>
      <c r="AU852" s="9">
        <v>53</v>
      </c>
      <c r="AV852" s="9">
        <v>47</v>
      </c>
      <c r="AW852" s="9">
        <v>39</v>
      </c>
      <c r="AX852" s="9">
        <v>39</v>
      </c>
      <c r="AY852" s="9">
        <v>37</v>
      </c>
      <c r="AZ852" s="9">
        <v>29</v>
      </c>
    </row>
    <row r="853" spans="2:52">
      <c r="B853" t="str">
        <f t="shared" si="65"/>
        <v>Jul</v>
      </c>
      <c r="C853" s="43">
        <f t="shared" si="66"/>
        <v>46229</v>
      </c>
      <c r="D853" s="44">
        <f t="shared" si="67"/>
        <v>46227</v>
      </c>
      <c r="E853" s="9" t="s">
        <v>42</v>
      </c>
      <c r="F853">
        <f t="shared" si="68"/>
        <v>0</v>
      </c>
      <c r="G853">
        <f t="shared" si="69"/>
        <v>9</v>
      </c>
      <c r="AJ853" s="40">
        <v>46227</v>
      </c>
      <c r="AK853" s="9" t="s">
        <v>42</v>
      </c>
      <c r="AL853" s="9" t="s">
        <v>42</v>
      </c>
      <c r="AM853" s="9"/>
      <c r="AN853" s="9">
        <v>45</v>
      </c>
      <c r="AO853" s="9">
        <v>48</v>
      </c>
      <c r="AP853" s="9">
        <v>0</v>
      </c>
      <c r="AQ853" s="9">
        <v>2</v>
      </c>
      <c r="AR853" s="9">
        <v>0</v>
      </c>
      <c r="AS853" s="9">
        <v>8</v>
      </c>
      <c r="AT853" s="9">
        <v>15</v>
      </c>
      <c r="AU853" s="9">
        <v>18</v>
      </c>
      <c r="AV853" s="9">
        <v>15</v>
      </c>
      <c r="AW853" s="9">
        <v>15</v>
      </c>
      <c r="AX853" s="9">
        <v>19</v>
      </c>
      <c r="AY853" s="9">
        <v>19</v>
      </c>
      <c r="AZ853" s="9">
        <v>24</v>
      </c>
    </row>
    <row r="854" spans="2:52">
      <c r="B854" t="str">
        <f t="shared" si="65"/>
        <v>Jul</v>
      </c>
      <c r="C854" s="43">
        <f t="shared" si="66"/>
        <v>46229</v>
      </c>
      <c r="D854" s="44">
        <f t="shared" si="67"/>
        <v>46228</v>
      </c>
      <c r="E854" s="9" t="s">
        <v>31</v>
      </c>
      <c r="F854">
        <f t="shared" si="68"/>
        <v>0</v>
      </c>
      <c r="G854">
        <f t="shared" si="69"/>
        <v>80</v>
      </c>
      <c r="AJ854" s="40">
        <v>46228</v>
      </c>
      <c r="AK854" s="9" t="s">
        <v>204</v>
      </c>
      <c r="AL854" s="9" t="s">
        <v>31</v>
      </c>
      <c r="AM854" s="9"/>
      <c r="AN854" s="9">
        <v>130</v>
      </c>
      <c r="AO854" s="9">
        <v>123</v>
      </c>
      <c r="AP854" s="9">
        <v>110</v>
      </c>
      <c r="AQ854" s="9">
        <v>92</v>
      </c>
      <c r="AR854" s="9">
        <v>132</v>
      </c>
      <c r="AS854" s="9">
        <v>114</v>
      </c>
      <c r="AT854" s="9">
        <v>171</v>
      </c>
      <c r="AU854" s="9">
        <v>155</v>
      </c>
      <c r="AV854" s="9">
        <v>161</v>
      </c>
      <c r="AW854" s="9">
        <v>143</v>
      </c>
      <c r="AX854" s="9">
        <v>136</v>
      </c>
      <c r="AY854" s="9">
        <v>143</v>
      </c>
      <c r="AZ854" s="9">
        <v>150</v>
      </c>
    </row>
    <row r="855" spans="2:52">
      <c r="B855" t="str">
        <f t="shared" si="65"/>
        <v>Jul</v>
      </c>
      <c r="C855" s="43">
        <f t="shared" si="66"/>
        <v>46229</v>
      </c>
      <c r="D855" s="44">
        <f t="shared" si="67"/>
        <v>46228</v>
      </c>
      <c r="E855" s="9" t="s">
        <v>39</v>
      </c>
      <c r="F855">
        <f t="shared" si="68"/>
        <v>0</v>
      </c>
      <c r="G855">
        <f t="shared" si="69"/>
        <v>-67</v>
      </c>
      <c r="AJ855" s="40">
        <v>46228</v>
      </c>
      <c r="AK855" s="9" t="s">
        <v>205</v>
      </c>
      <c r="AL855" s="9" t="s">
        <v>39</v>
      </c>
      <c r="AM855" s="9"/>
      <c r="AN855" s="9">
        <v>63</v>
      </c>
      <c r="AO855" s="9">
        <v>0</v>
      </c>
      <c r="AP855" s="9">
        <v>0</v>
      </c>
      <c r="AQ855" s="9">
        <v>6</v>
      </c>
      <c r="AR855" s="9">
        <v>16</v>
      </c>
      <c r="AS855" s="9">
        <v>0</v>
      </c>
      <c r="AT855" s="9">
        <v>57</v>
      </c>
      <c r="AU855" s="9">
        <v>70</v>
      </c>
      <c r="AV855" s="9">
        <v>69</v>
      </c>
      <c r="AW855" s="9">
        <v>79</v>
      </c>
      <c r="AX855" s="9">
        <v>89</v>
      </c>
      <c r="AY855" s="9">
        <v>74</v>
      </c>
      <c r="AZ855" s="9">
        <v>67</v>
      </c>
    </row>
    <row r="856" spans="2:52">
      <c r="B856" t="str">
        <f t="shared" si="65"/>
        <v>Jul</v>
      </c>
      <c r="C856" s="43">
        <f t="shared" si="66"/>
        <v>46229</v>
      </c>
      <c r="D856" s="44">
        <f t="shared" si="67"/>
        <v>46228</v>
      </c>
      <c r="E856" s="9" t="s">
        <v>40</v>
      </c>
      <c r="F856">
        <f t="shared" si="68"/>
        <v>0</v>
      </c>
      <c r="G856">
        <f t="shared" si="69"/>
        <v>-67</v>
      </c>
      <c r="AJ856" s="40">
        <v>46228</v>
      </c>
      <c r="AK856" s="9" t="s">
        <v>205</v>
      </c>
      <c r="AL856" s="9" t="s">
        <v>40</v>
      </c>
      <c r="AM856" s="9"/>
      <c r="AN856" s="9">
        <v>0</v>
      </c>
      <c r="AO856" s="9">
        <v>32</v>
      </c>
      <c r="AP856" s="9">
        <v>0</v>
      </c>
      <c r="AQ856" s="9">
        <v>19</v>
      </c>
      <c r="AR856" s="9">
        <v>0</v>
      </c>
      <c r="AS856" s="9">
        <v>0</v>
      </c>
      <c r="AT856" s="9">
        <v>0</v>
      </c>
      <c r="AU856" s="9">
        <v>7</v>
      </c>
      <c r="AV856" s="9">
        <v>0</v>
      </c>
      <c r="AW856" s="9">
        <v>0</v>
      </c>
      <c r="AX856" s="9">
        <v>19</v>
      </c>
      <c r="AY856" s="9">
        <v>20</v>
      </c>
      <c r="AZ856" s="9">
        <v>23</v>
      </c>
    </row>
    <row r="857" spans="2:52">
      <c r="B857" t="str">
        <f t="shared" si="65"/>
        <v>Jul</v>
      </c>
      <c r="C857" s="43">
        <f t="shared" si="66"/>
        <v>46229</v>
      </c>
      <c r="D857" s="44">
        <f t="shared" si="67"/>
        <v>46228</v>
      </c>
      <c r="E857" s="9" t="s">
        <v>41</v>
      </c>
      <c r="F857">
        <f t="shared" si="68"/>
        <v>0</v>
      </c>
      <c r="G857">
        <f t="shared" si="69"/>
        <v>-10</v>
      </c>
      <c r="AJ857" s="40">
        <v>46228</v>
      </c>
      <c r="AK857" s="9" t="s">
        <v>41</v>
      </c>
      <c r="AL857" s="9" t="s">
        <v>41</v>
      </c>
      <c r="AM857" s="9"/>
      <c r="AN857" s="9">
        <v>33</v>
      </c>
      <c r="AO857" s="9">
        <v>35</v>
      </c>
      <c r="AP857" s="9">
        <v>33</v>
      </c>
      <c r="AQ857" s="9">
        <v>30</v>
      </c>
      <c r="AR857" s="9">
        <v>32</v>
      </c>
      <c r="AS857" s="9">
        <v>29</v>
      </c>
      <c r="AT857" s="9">
        <v>25</v>
      </c>
      <c r="AU857" s="9">
        <v>24</v>
      </c>
      <c r="AV857" s="9">
        <v>44</v>
      </c>
      <c r="AW857" s="9">
        <v>42</v>
      </c>
      <c r="AX857" s="9">
        <v>15</v>
      </c>
      <c r="AY857" s="9">
        <v>0</v>
      </c>
      <c r="AZ857" s="9">
        <v>2</v>
      </c>
    </row>
    <row r="858" spans="2:52">
      <c r="B858" t="str">
        <f t="shared" si="65"/>
        <v>Jul</v>
      </c>
      <c r="C858" s="43">
        <f t="shared" si="66"/>
        <v>46229</v>
      </c>
      <c r="D858" s="44">
        <f t="shared" si="67"/>
        <v>46228</v>
      </c>
      <c r="E858" s="9" t="s">
        <v>45</v>
      </c>
      <c r="F858">
        <f t="shared" si="68"/>
        <v>0</v>
      </c>
      <c r="G858">
        <f t="shared" si="69"/>
        <v>-19</v>
      </c>
      <c r="AJ858" s="40">
        <v>46228</v>
      </c>
      <c r="AK858" s="9" t="s">
        <v>202</v>
      </c>
      <c r="AL858" s="9" t="s">
        <v>45</v>
      </c>
      <c r="AM858" s="9"/>
      <c r="AN858" s="9">
        <v>34</v>
      </c>
      <c r="AO858" s="9">
        <v>0</v>
      </c>
      <c r="AP858" s="9">
        <v>16</v>
      </c>
      <c r="AQ858" s="9">
        <v>12</v>
      </c>
      <c r="AR858" s="9">
        <v>14</v>
      </c>
      <c r="AS858" s="9">
        <v>12</v>
      </c>
      <c r="AT858" s="9">
        <v>5</v>
      </c>
      <c r="AU858" s="9">
        <v>0</v>
      </c>
      <c r="AV858" s="9">
        <v>1</v>
      </c>
      <c r="AW858" s="9">
        <v>0</v>
      </c>
      <c r="AX858" s="9">
        <v>25</v>
      </c>
      <c r="AY858" s="9">
        <v>16</v>
      </c>
      <c r="AZ858" s="9">
        <v>23</v>
      </c>
    </row>
    <row r="859" spans="2:52">
      <c r="B859" t="str">
        <f t="shared" si="65"/>
        <v>Jul</v>
      </c>
      <c r="C859" s="43">
        <f t="shared" si="66"/>
        <v>46229</v>
      </c>
      <c r="D859" s="44">
        <f t="shared" si="67"/>
        <v>46228</v>
      </c>
      <c r="E859" s="9" t="s">
        <v>46</v>
      </c>
      <c r="F859">
        <f t="shared" si="68"/>
        <v>0</v>
      </c>
      <c r="G859">
        <f t="shared" si="69"/>
        <v>-78</v>
      </c>
      <c r="AJ859" s="40">
        <v>46228</v>
      </c>
      <c r="AK859" s="9" t="s">
        <v>202</v>
      </c>
      <c r="AL859" s="9" t="s">
        <v>46</v>
      </c>
      <c r="AM859" s="9"/>
      <c r="AN859" s="9">
        <v>12</v>
      </c>
      <c r="AO859" s="9">
        <v>0</v>
      </c>
      <c r="AP859" s="9">
        <v>19</v>
      </c>
      <c r="AQ859" s="9">
        <v>0</v>
      </c>
      <c r="AR859" s="9">
        <v>19</v>
      </c>
      <c r="AS859" s="9">
        <v>16</v>
      </c>
      <c r="AT859" s="9">
        <v>16</v>
      </c>
      <c r="AU859" s="9">
        <v>18</v>
      </c>
      <c r="AV859" s="9">
        <v>0</v>
      </c>
      <c r="AW859" s="9">
        <v>0</v>
      </c>
      <c r="AX859" s="9">
        <v>0</v>
      </c>
      <c r="AY859" s="9">
        <v>0</v>
      </c>
      <c r="AZ859" s="9">
        <v>1</v>
      </c>
    </row>
    <row r="860" spans="2:52">
      <c r="B860" t="str">
        <f t="shared" si="65"/>
        <v>Jul</v>
      </c>
      <c r="C860" s="43">
        <f t="shared" si="66"/>
        <v>46229</v>
      </c>
      <c r="D860" s="44">
        <f t="shared" si="67"/>
        <v>46228</v>
      </c>
      <c r="E860" s="9" t="s">
        <v>47</v>
      </c>
      <c r="F860">
        <f t="shared" si="68"/>
        <v>0</v>
      </c>
      <c r="G860">
        <f t="shared" si="69"/>
        <v>-4</v>
      </c>
      <c r="AJ860" s="40">
        <v>46228</v>
      </c>
      <c r="AK860" s="9" t="s">
        <v>202</v>
      </c>
      <c r="AL860" s="9" t="s">
        <v>47</v>
      </c>
      <c r="AM860" s="9"/>
      <c r="AN860" s="9">
        <v>0</v>
      </c>
      <c r="AO860" s="9">
        <v>16</v>
      </c>
      <c r="AP860" s="9">
        <v>0</v>
      </c>
      <c r="AQ860" s="9">
        <v>0</v>
      </c>
      <c r="AR860" s="9">
        <v>5</v>
      </c>
      <c r="AS860" s="9">
        <v>4</v>
      </c>
      <c r="AT860" s="9">
        <v>1</v>
      </c>
      <c r="AU860" s="9">
        <v>1</v>
      </c>
      <c r="AV860" s="9">
        <v>0</v>
      </c>
      <c r="AW860" s="9">
        <v>0</v>
      </c>
      <c r="AX860" s="9">
        <v>13</v>
      </c>
      <c r="AY860" s="9">
        <v>10</v>
      </c>
      <c r="AZ860" s="9">
        <v>0</v>
      </c>
    </row>
    <row r="861" spans="2:52">
      <c r="B861" t="str">
        <f t="shared" si="65"/>
        <v>Jul</v>
      </c>
      <c r="C861" s="43">
        <f t="shared" si="66"/>
        <v>46229</v>
      </c>
      <c r="D861" s="44">
        <f t="shared" si="67"/>
        <v>46228</v>
      </c>
      <c r="E861" s="9" t="s">
        <v>206</v>
      </c>
      <c r="F861">
        <f t="shared" si="68"/>
        <v>0</v>
      </c>
      <c r="G861">
        <f t="shared" si="69"/>
        <v>72</v>
      </c>
      <c r="AJ861" s="40">
        <v>46228</v>
      </c>
      <c r="AK861" s="9" t="s">
        <v>43</v>
      </c>
      <c r="AL861" s="9" t="s">
        <v>206</v>
      </c>
      <c r="AM861" s="9"/>
      <c r="AN861" s="9">
        <v>0</v>
      </c>
      <c r="AO861" s="9">
        <v>5</v>
      </c>
      <c r="AP861" s="9">
        <v>1</v>
      </c>
      <c r="AQ861" s="9">
        <v>0</v>
      </c>
      <c r="AR861" s="9">
        <v>0</v>
      </c>
      <c r="AS861" s="9">
        <v>32</v>
      </c>
      <c r="AT861" s="9">
        <v>34</v>
      </c>
      <c r="AU861" s="9">
        <v>44</v>
      </c>
      <c r="AV861" s="9">
        <v>52</v>
      </c>
      <c r="AW861" s="9">
        <v>60</v>
      </c>
      <c r="AX861" s="9">
        <v>75</v>
      </c>
      <c r="AY861" s="9">
        <v>69</v>
      </c>
      <c r="AZ861" s="9">
        <v>72</v>
      </c>
    </row>
    <row r="862" spans="2:52">
      <c r="B862" t="str">
        <f t="shared" si="65"/>
        <v>Jul</v>
      </c>
      <c r="C862" s="43">
        <f t="shared" si="66"/>
        <v>46229</v>
      </c>
      <c r="D862" s="44">
        <f t="shared" si="67"/>
        <v>46228</v>
      </c>
      <c r="E862" s="9" t="s">
        <v>207</v>
      </c>
      <c r="F862">
        <f t="shared" si="68"/>
        <v>0</v>
      </c>
      <c r="G862">
        <f t="shared" si="69"/>
        <v>22</v>
      </c>
      <c r="AJ862" s="40">
        <v>46228</v>
      </c>
      <c r="AK862" s="9" t="s">
        <v>203</v>
      </c>
      <c r="AL862" s="9" t="s">
        <v>207</v>
      </c>
      <c r="AM862" s="9"/>
      <c r="AN862" s="9">
        <v>0</v>
      </c>
      <c r="AO862" s="9">
        <v>21</v>
      </c>
      <c r="AP862" s="9">
        <v>0</v>
      </c>
      <c r="AQ862" s="9">
        <v>0</v>
      </c>
      <c r="AR862" s="9">
        <v>19</v>
      </c>
      <c r="AS862" s="9">
        <v>17</v>
      </c>
      <c r="AT862" s="9">
        <v>71</v>
      </c>
      <c r="AU862" s="9">
        <v>72</v>
      </c>
      <c r="AV862" s="9">
        <v>69</v>
      </c>
      <c r="AW862" s="9">
        <v>72</v>
      </c>
      <c r="AX862" s="9">
        <v>59</v>
      </c>
      <c r="AY862" s="9">
        <v>52</v>
      </c>
      <c r="AZ862" s="9">
        <v>51</v>
      </c>
    </row>
    <row r="863" spans="2:52">
      <c r="B863" t="str">
        <f t="shared" si="65"/>
        <v>Jul</v>
      </c>
      <c r="C863" s="43">
        <f t="shared" si="66"/>
        <v>46229</v>
      </c>
      <c r="D863" s="44">
        <f t="shared" si="67"/>
        <v>46228</v>
      </c>
      <c r="E863" s="9" t="s">
        <v>42</v>
      </c>
      <c r="F863">
        <f t="shared" si="68"/>
        <v>0</v>
      </c>
      <c r="G863">
        <f t="shared" si="69"/>
        <v>166</v>
      </c>
      <c r="AJ863" s="40">
        <v>46228</v>
      </c>
      <c r="AK863" s="9" t="s">
        <v>42</v>
      </c>
      <c r="AL863" s="9" t="s">
        <v>42</v>
      </c>
      <c r="AM863" s="9"/>
      <c r="AN863" s="9">
        <v>27</v>
      </c>
      <c r="AO863" s="9">
        <v>32</v>
      </c>
      <c r="AP863" s="9">
        <v>27</v>
      </c>
      <c r="AQ863" s="9">
        <v>21</v>
      </c>
      <c r="AR863" s="9">
        <v>0</v>
      </c>
      <c r="AS863" s="9">
        <v>23</v>
      </c>
      <c r="AT863" s="9">
        <v>0</v>
      </c>
      <c r="AU863" s="9">
        <v>1</v>
      </c>
      <c r="AV863" s="9">
        <v>6</v>
      </c>
      <c r="AW863" s="9">
        <v>12</v>
      </c>
      <c r="AX863" s="9">
        <v>16</v>
      </c>
      <c r="AY863" s="9">
        <v>23</v>
      </c>
      <c r="AZ863" s="9">
        <v>190</v>
      </c>
    </row>
    <row r="864" spans="2:52">
      <c r="B864" t="str">
        <f t="shared" si="65"/>
        <v>Aug</v>
      </c>
      <c r="C864" s="43">
        <f t="shared" si="66"/>
        <v>46236</v>
      </c>
      <c r="D864" s="44">
        <f t="shared" si="67"/>
        <v>46229</v>
      </c>
      <c r="E864" s="9" t="s">
        <v>31</v>
      </c>
      <c r="F864">
        <f t="shared" si="68"/>
        <v>0</v>
      </c>
      <c r="G864">
        <f t="shared" si="69"/>
        <v>-112</v>
      </c>
      <c r="AJ864" s="40">
        <v>46229</v>
      </c>
      <c r="AK864" s="9" t="s">
        <v>204</v>
      </c>
      <c r="AL864" s="9" t="s">
        <v>31</v>
      </c>
      <c r="AM864" s="9"/>
      <c r="AN864" s="9">
        <v>146</v>
      </c>
      <c r="AO864" s="9">
        <v>166</v>
      </c>
      <c r="AP864" s="9">
        <v>161</v>
      </c>
      <c r="AQ864" s="9">
        <v>156</v>
      </c>
      <c r="AR864" s="9">
        <v>155</v>
      </c>
      <c r="AS864" s="9">
        <v>0</v>
      </c>
      <c r="AT864" s="9">
        <v>0</v>
      </c>
      <c r="AU864" s="9">
        <v>75</v>
      </c>
      <c r="AV864" s="9">
        <v>62</v>
      </c>
      <c r="AW864" s="9">
        <v>52</v>
      </c>
      <c r="AX864" s="9">
        <v>47</v>
      </c>
      <c r="AY864" s="9">
        <v>39</v>
      </c>
      <c r="AZ864" s="9">
        <v>38</v>
      </c>
    </row>
    <row r="865" spans="2:52">
      <c r="B865" t="str">
        <f t="shared" si="65"/>
        <v>Aug</v>
      </c>
      <c r="C865" s="43">
        <f t="shared" si="66"/>
        <v>46236</v>
      </c>
      <c r="D865" s="44">
        <f t="shared" si="67"/>
        <v>46229</v>
      </c>
      <c r="E865" s="9" t="s">
        <v>39</v>
      </c>
      <c r="F865">
        <f t="shared" si="68"/>
        <v>0</v>
      </c>
      <c r="G865">
        <f t="shared" si="69"/>
        <v>109</v>
      </c>
      <c r="AJ865" s="40">
        <v>46229</v>
      </c>
      <c r="AK865" s="9" t="s">
        <v>205</v>
      </c>
      <c r="AL865" s="9" t="s">
        <v>39</v>
      </c>
      <c r="AM865" s="9"/>
      <c r="AN865" s="9">
        <v>109</v>
      </c>
      <c r="AO865" s="9">
        <v>99</v>
      </c>
      <c r="AP865" s="9">
        <v>83</v>
      </c>
      <c r="AQ865" s="9">
        <v>55</v>
      </c>
      <c r="AR865" s="9">
        <v>67</v>
      </c>
      <c r="AS865" s="9">
        <v>80</v>
      </c>
      <c r="AT865" s="9">
        <v>77</v>
      </c>
      <c r="AU865" s="9">
        <v>72</v>
      </c>
      <c r="AV865" s="9">
        <v>83</v>
      </c>
      <c r="AW865" s="9">
        <v>93</v>
      </c>
      <c r="AX865" s="9">
        <v>105</v>
      </c>
      <c r="AY865" s="9">
        <v>167</v>
      </c>
      <c r="AZ865" s="9">
        <v>176</v>
      </c>
    </row>
    <row r="866" spans="2:52">
      <c r="B866" t="str">
        <f t="shared" si="65"/>
        <v>Aug</v>
      </c>
      <c r="C866" s="43">
        <f t="shared" si="66"/>
        <v>46236</v>
      </c>
      <c r="D866" s="44">
        <f t="shared" si="67"/>
        <v>46229</v>
      </c>
      <c r="E866" s="9" t="s">
        <v>40</v>
      </c>
      <c r="F866">
        <f t="shared" si="68"/>
        <v>0</v>
      </c>
      <c r="G866">
        <f t="shared" si="69"/>
        <v>28</v>
      </c>
      <c r="AJ866" s="40">
        <v>46229</v>
      </c>
      <c r="AK866" s="9" t="s">
        <v>205</v>
      </c>
      <c r="AL866" s="9" t="s">
        <v>40</v>
      </c>
      <c r="AM866" s="9"/>
      <c r="AN866" s="9">
        <v>20</v>
      </c>
      <c r="AO866" s="9">
        <v>22</v>
      </c>
      <c r="AP866" s="9">
        <v>9</v>
      </c>
      <c r="AQ866" s="9">
        <v>54</v>
      </c>
      <c r="AR866" s="9">
        <v>82</v>
      </c>
      <c r="AS866" s="9">
        <v>77</v>
      </c>
      <c r="AT866" s="9">
        <v>89</v>
      </c>
      <c r="AU866" s="9">
        <v>56</v>
      </c>
      <c r="AV866" s="9">
        <v>54</v>
      </c>
      <c r="AW866" s="9">
        <v>47</v>
      </c>
      <c r="AX866" s="9">
        <v>50</v>
      </c>
      <c r="AY866" s="9">
        <v>61</v>
      </c>
      <c r="AZ866" s="9">
        <v>51</v>
      </c>
    </row>
    <row r="867" spans="2:52">
      <c r="B867" t="str">
        <f t="shared" si="65"/>
        <v>Aug</v>
      </c>
      <c r="C867" s="43">
        <f t="shared" si="66"/>
        <v>46236</v>
      </c>
      <c r="D867" s="44">
        <f t="shared" si="67"/>
        <v>46229</v>
      </c>
      <c r="E867" s="9" t="s">
        <v>41</v>
      </c>
      <c r="F867">
        <f t="shared" si="68"/>
        <v>0</v>
      </c>
      <c r="G867">
        <f t="shared" si="69"/>
        <v>1</v>
      </c>
      <c r="AJ867" s="40">
        <v>46229</v>
      </c>
      <c r="AK867" s="9" t="s">
        <v>41</v>
      </c>
      <c r="AL867" s="9" t="s">
        <v>41</v>
      </c>
      <c r="AM867" s="9"/>
      <c r="AN867" s="9">
        <v>5</v>
      </c>
      <c r="AO867" s="9">
        <v>5</v>
      </c>
      <c r="AP867" s="9">
        <v>8</v>
      </c>
      <c r="AQ867" s="9">
        <v>6</v>
      </c>
      <c r="AR867" s="9">
        <v>10</v>
      </c>
      <c r="AS867" s="9">
        <v>14</v>
      </c>
      <c r="AT867" s="9">
        <v>65</v>
      </c>
      <c r="AU867" s="9">
        <v>68</v>
      </c>
      <c r="AV867" s="9">
        <v>64</v>
      </c>
      <c r="AW867" s="9">
        <v>98</v>
      </c>
      <c r="AX867" s="9">
        <v>0</v>
      </c>
      <c r="AY867" s="9">
        <v>3</v>
      </c>
      <c r="AZ867" s="9">
        <v>3</v>
      </c>
    </row>
    <row r="868" spans="2:52">
      <c r="B868" t="str">
        <f t="shared" si="65"/>
        <v>Aug</v>
      </c>
      <c r="C868" s="43">
        <f t="shared" si="66"/>
        <v>46236</v>
      </c>
      <c r="D868" s="44">
        <f t="shared" si="67"/>
        <v>46229</v>
      </c>
      <c r="E868" s="9" t="s">
        <v>45</v>
      </c>
      <c r="F868">
        <f t="shared" si="68"/>
        <v>0</v>
      </c>
      <c r="G868">
        <f t="shared" si="69"/>
        <v>-23</v>
      </c>
      <c r="AJ868" s="40">
        <v>46229</v>
      </c>
      <c r="AK868" s="9" t="s">
        <v>202</v>
      </c>
      <c r="AL868" s="9" t="s">
        <v>45</v>
      </c>
      <c r="AM868" s="9"/>
      <c r="AN868" s="9">
        <v>51</v>
      </c>
      <c r="AO868" s="9">
        <v>49</v>
      </c>
      <c r="AP868" s="9">
        <v>54</v>
      </c>
      <c r="AQ868" s="9">
        <v>0</v>
      </c>
      <c r="AR868" s="9">
        <v>7</v>
      </c>
      <c r="AS868" s="9">
        <v>3</v>
      </c>
      <c r="AT868" s="9">
        <v>10</v>
      </c>
      <c r="AU868" s="9">
        <v>0</v>
      </c>
      <c r="AV868" s="9">
        <v>25</v>
      </c>
      <c r="AW868" s="9">
        <v>20</v>
      </c>
      <c r="AX868" s="9">
        <v>0</v>
      </c>
      <c r="AY868" s="9">
        <v>14</v>
      </c>
      <c r="AZ868" s="9">
        <v>0</v>
      </c>
    </row>
    <row r="869" spans="2:52">
      <c r="B869" t="str">
        <f t="shared" si="65"/>
        <v>Aug</v>
      </c>
      <c r="C869" s="43">
        <f t="shared" si="66"/>
        <v>46236</v>
      </c>
      <c r="D869" s="44">
        <f t="shared" si="67"/>
        <v>46229</v>
      </c>
      <c r="E869" s="9" t="s">
        <v>46</v>
      </c>
      <c r="F869">
        <f t="shared" si="68"/>
        <v>0</v>
      </c>
      <c r="G869">
        <f t="shared" si="69"/>
        <v>-1</v>
      </c>
      <c r="AJ869" s="40">
        <v>46229</v>
      </c>
      <c r="AK869" s="9" t="s">
        <v>202</v>
      </c>
      <c r="AL869" s="9" t="s">
        <v>46</v>
      </c>
      <c r="AM869" s="9"/>
      <c r="AN869" s="9">
        <v>22</v>
      </c>
      <c r="AO869" s="9">
        <v>21</v>
      </c>
      <c r="AP869" s="9">
        <v>20</v>
      </c>
      <c r="AQ869" s="9">
        <v>42</v>
      </c>
      <c r="AR869" s="9">
        <v>46</v>
      </c>
      <c r="AS869" s="9">
        <v>45</v>
      </c>
      <c r="AT869" s="9">
        <v>0</v>
      </c>
      <c r="AU869" s="9">
        <v>2</v>
      </c>
      <c r="AV869" s="9">
        <v>0</v>
      </c>
      <c r="AW869" s="9">
        <v>17</v>
      </c>
      <c r="AX869" s="9">
        <v>19</v>
      </c>
      <c r="AY869" s="9">
        <v>0</v>
      </c>
      <c r="AZ869" s="9">
        <v>0</v>
      </c>
    </row>
    <row r="870" spans="2:52">
      <c r="B870" t="str">
        <f t="shared" si="65"/>
        <v>Aug</v>
      </c>
      <c r="C870" s="43">
        <f t="shared" si="66"/>
        <v>46236</v>
      </c>
      <c r="D870" s="44">
        <f t="shared" si="67"/>
        <v>46229</v>
      </c>
      <c r="E870" s="9" t="s">
        <v>47</v>
      </c>
      <c r="F870">
        <f t="shared" si="68"/>
        <v>0</v>
      </c>
      <c r="G870">
        <f t="shared" si="69"/>
        <v>0</v>
      </c>
      <c r="AJ870" s="40">
        <v>46229</v>
      </c>
      <c r="AK870" s="9" t="s">
        <v>202</v>
      </c>
      <c r="AL870" s="9" t="s">
        <v>47</v>
      </c>
      <c r="AM870" s="9"/>
      <c r="AN870" s="9">
        <v>29</v>
      </c>
      <c r="AO870" s="9">
        <v>30</v>
      </c>
      <c r="AP870" s="9">
        <v>29</v>
      </c>
      <c r="AQ870" s="9">
        <v>27</v>
      </c>
      <c r="AR870" s="9">
        <v>57</v>
      </c>
      <c r="AS870" s="9">
        <v>58</v>
      </c>
      <c r="AT870" s="9">
        <v>57</v>
      </c>
      <c r="AU870" s="9">
        <v>53</v>
      </c>
      <c r="AV870" s="9">
        <v>56</v>
      </c>
      <c r="AW870" s="9">
        <v>39</v>
      </c>
      <c r="AX870" s="9">
        <v>38</v>
      </c>
      <c r="AY870" s="9">
        <v>38</v>
      </c>
      <c r="AZ870" s="9">
        <v>0</v>
      </c>
    </row>
    <row r="871" spans="2:52">
      <c r="B871" t="str">
        <f t="shared" si="65"/>
        <v>Aug</v>
      </c>
      <c r="C871" s="43">
        <f t="shared" si="66"/>
        <v>46236</v>
      </c>
      <c r="D871" s="44">
        <f t="shared" si="67"/>
        <v>46229</v>
      </c>
      <c r="E871" s="9" t="s">
        <v>206</v>
      </c>
      <c r="F871">
        <f t="shared" si="68"/>
        <v>0</v>
      </c>
      <c r="G871">
        <f t="shared" si="69"/>
        <v>-28</v>
      </c>
      <c r="AJ871" s="40">
        <v>46229</v>
      </c>
      <c r="AK871" s="9" t="s">
        <v>43</v>
      </c>
      <c r="AL871" s="9" t="s">
        <v>206</v>
      </c>
      <c r="AM871" s="9"/>
      <c r="AN871" s="9">
        <v>57</v>
      </c>
      <c r="AO871" s="9">
        <v>0</v>
      </c>
      <c r="AP871" s="9">
        <v>6</v>
      </c>
      <c r="AQ871" s="9">
        <v>4</v>
      </c>
      <c r="AR871" s="9">
        <v>14</v>
      </c>
      <c r="AS871" s="9">
        <v>20</v>
      </c>
      <c r="AT871" s="9">
        <v>16</v>
      </c>
      <c r="AU871" s="9">
        <v>0</v>
      </c>
      <c r="AV871" s="9">
        <v>25</v>
      </c>
      <c r="AW871" s="9">
        <v>34</v>
      </c>
      <c r="AX871" s="9">
        <v>43</v>
      </c>
      <c r="AY871" s="9">
        <v>47</v>
      </c>
      <c r="AZ871" s="9">
        <v>44</v>
      </c>
    </row>
    <row r="872" spans="2:52">
      <c r="B872" t="str">
        <f t="shared" si="65"/>
        <v>Aug</v>
      </c>
      <c r="C872" s="43">
        <f t="shared" si="66"/>
        <v>46236</v>
      </c>
      <c r="D872" s="44">
        <f t="shared" si="67"/>
        <v>46229</v>
      </c>
      <c r="E872" s="9" t="s">
        <v>207</v>
      </c>
      <c r="F872">
        <f t="shared" si="68"/>
        <v>0</v>
      </c>
      <c r="G872">
        <f t="shared" si="69"/>
        <v>-22</v>
      </c>
      <c r="AJ872" s="40">
        <v>46229</v>
      </c>
      <c r="AK872" s="9" t="s">
        <v>203</v>
      </c>
      <c r="AL872" s="9" t="s">
        <v>207</v>
      </c>
      <c r="AM872" s="9"/>
      <c r="AN872" s="9">
        <v>30</v>
      </c>
      <c r="AO872" s="9">
        <v>91</v>
      </c>
      <c r="AP872" s="9">
        <v>87</v>
      </c>
      <c r="AQ872" s="9">
        <v>85</v>
      </c>
      <c r="AR872" s="9">
        <v>91</v>
      </c>
      <c r="AS872" s="9">
        <v>96</v>
      </c>
      <c r="AT872" s="9">
        <v>0</v>
      </c>
      <c r="AU872" s="9">
        <v>3</v>
      </c>
      <c r="AV872" s="9">
        <v>17</v>
      </c>
      <c r="AW872" s="9">
        <v>16</v>
      </c>
      <c r="AX872" s="9">
        <v>0</v>
      </c>
      <c r="AY872" s="9">
        <v>26</v>
      </c>
      <c r="AZ872" s="9">
        <v>29</v>
      </c>
    </row>
    <row r="873" spans="2:52">
      <c r="B873" t="str">
        <f t="shared" si="65"/>
        <v>Aug</v>
      </c>
      <c r="C873" s="43">
        <f t="shared" si="66"/>
        <v>46236</v>
      </c>
      <c r="D873" s="44">
        <f t="shared" si="67"/>
        <v>46229</v>
      </c>
      <c r="E873" s="9" t="s">
        <v>42</v>
      </c>
      <c r="F873">
        <f t="shared" si="68"/>
        <v>0</v>
      </c>
      <c r="G873">
        <f t="shared" si="69"/>
        <v>-187</v>
      </c>
      <c r="AJ873" s="40">
        <v>46229</v>
      </c>
      <c r="AK873" s="9" t="s">
        <v>42</v>
      </c>
      <c r="AL873" s="9" t="s">
        <v>42</v>
      </c>
      <c r="AM873" s="9"/>
      <c r="AN873" s="9">
        <v>12</v>
      </c>
      <c r="AO873" s="9">
        <v>0</v>
      </c>
      <c r="AP873" s="9">
        <v>32</v>
      </c>
      <c r="AQ873" s="9">
        <v>36</v>
      </c>
      <c r="AR873" s="9">
        <v>39</v>
      </c>
      <c r="AS873" s="9">
        <v>44</v>
      </c>
      <c r="AT873" s="9">
        <v>50</v>
      </c>
      <c r="AU873" s="9">
        <v>52</v>
      </c>
      <c r="AV873" s="9">
        <v>52</v>
      </c>
      <c r="AW873" s="9">
        <v>47</v>
      </c>
      <c r="AX873" s="9">
        <v>0</v>
      </c>
      <c r="AY873" s="9">
        <v>6</v>
      </c>
      <c r="AZ873" s="9">
        <v>3</v>
      </c>
    </row>
    <row r="874" spans="2:52">
      <c r="B874" t="str">
        <f t="shared" si="65"/>
        <v>Aug</v>
      </c>
      <c r="C874" s="43">
        <f t="shared" si="66"/>
        <v>46236</v>
      </c>
      <c r="D874" s="44">
        <f t="shared" si="67"/>
        <v>46230</v>
      </c>
      <c r="E874" s="9" t="s">
        <v>31</v>
      </c>
      <c r="F874">
        <f t="shared" si="68"/>
        <v>0</v>
      </c>
      <c r="G874">
        <f t="shared" si="69"/>
        <v>-32</v>
      </c>
      <c r="AJ874" s="40">
        <v>46230</v>
      </c>
      <c r="AK874" s="9" t="s">
        <v>204</v>
      </c>
      <c r="AL874" s="9" t="s">
        <v>31</v>
      </c>
      <c r="AM874" s="9"/>
      <c r="AN874" s="9">
        <v>96</v>
      </c>
      <c r="AO874" s="9">
        <v>116</v>
      </c>
      <c r="AP874" s="9">
        <v>144</v>
      </c>
      <c r="AQ874" s="9">
        <v>154</v>
      </c>
      <c r="AR874" s="9">
        <v>173</v>
      </c>
      <c r="AS874" s="9">
        <v>214</v>
      </c>
      <c r="AT874" s="9">
        <v>235</v>
      </c>
      <c r="AU874" s="9">
        <v>224</v>
      </c>
      <c r="AV874" s="9">
        <v>240</v>
      </c>
      <c r="AW874" s="9">
        <v>223</v>
      </c>
      <c r="AX874" s="9">
        <v>0</v>
      </c>
      <c r="AY874" s="9">
        <v>0</v>
      </c>
      <c r="AZ874" s="9">
        <v>6</v>
      </c>
    </row>
    <row r="875" spans="2:52">
      <c r="B875" t="str">
        <f t="shared" si="65"/>
        <v>Aug</v>
      </c>
      <c r="C875" s="43">
        <f t="shared" si="66"/>
        <v>46236</v>
      </c>
      <c r="D875" s="44">
        <f t="shared" si="67"/>
        <v>46230</v>
      </c>
      <c r="E875" s="9" t="s">
        <v>39</v>
      </c>
      <c r="F875">
        <f t="shared" si="68"/>
        <v>0</v>
      </c>
      <c r="G875">
        <f t="shared" si="69"/>
        <v>64</v>
      </c>
      <c r="AJ875" s="40">
        <v>46230</v>
      </c>
      <c r="AK875" s="9" t="s">
        <v>205</v>
      </c>
      <c r="AL875" s="9" t="s">
        <v>39</v>
      </c>
      <c r="AM875" s="9"/>
      <c r="AN875" s="9">
        <v>145</v>
      </c>
      <c r="AO875" s="9">
        <v>169</v>
      </c>
      <c r="AP875" s="9">
        <v>170</v>
      </c>
      <c r="AQ875" s="9">
        <v>187</v>
      </c>
      <c r="AR875" s="9">
        <v>224</v>
      </c>
      <c r="AS875" s="9">
        <v>240</v>
      </c>
      <c r="AT875" s="9">
        <v>236</v>
      </c>
      <c r="AU875" s="9">
        <v>237</v>
      </c>
      <c r="AV875" s="9">
        <v>240</v>
      </c>
      <c r="AW875" s="9">
        <v>235</v>
      </c>
      <c r="AX875" s="9">
        <v>222</v>
      </c>
      <c r="AY875" s="9">
        <v>239</v>
      </c>
      <c r="AZ875" s="9">
        <v>240</v>
      </c>
    </row>
    <row r="876" spans="2:52">
      <c r="B876" t="str">
        <f t="shared" si="65"/>
        <v>Aug</v>
      </c>
      <c r="C876" s="43">
        <f t="shared" si="66"/>
        <v>46236</v>
      </c>
      <c r="D876" s="44">
        <f t="shared" si="67"/>
        <v>46230</v>
      </c>
      <c r="E876" s="9" t="s">
        <v>40</v>
      </c>
      <c r="F876">
        <f t="shared" si="68"/>
        <v>0</v>
      </c>
      <c r="G876">
        <f t="shared" si="69"/>
        <v>-39</v>
      </c>
      <c r="AJ876" s="40">
        <v>46230</v>
      </c>
      <c r="AK876" s="9" t="s">
        <v>205</v>
      </c>
      <c r="AL876" s="9" t="s">
        <v>40</v>
      </c>
      <c r="AM876" s="9"/>
      <c r="AN876" s="9">
        <v>77</v>
      </c>
      <c r="AO876" s="9">
        <v>70</v>
      </c>
      <c r="AP876" s="9">
        <v>78</v>
      </c>
      <c r="AQ876" s="9">
        <v>68</v>
      </c>
      <c r="AR876" s="9">
        <v>59</v>
      </c>
      <c r="AS876" s="9">
        <v>56</v>
      </c>
      <c r="AT876" s="9">
        <v>51</v>
      </c>
      <c r="AU876" s="9">
        <v>50</v>
      </c>
      <c r="AV876" s="9">
        <v>45</v>
      </c>
      <c r="AW876" s="9">
        <v>24</v>
      </c>
      <c r="AX876" s="9">
        <v>0</v>
      </c>
      <c r="AY876" s="9">
        <v>0</v>
      </c>
      <c r="AZ876" s="9">
        <v>12</v>
      </c>
    </row>
    <row r="877" spans="2:52">
      <c r="B877" t="str">
        <f t="shared" si="65"/>
        <v>Aug</v>
      </c>
      <c r="C877" s="43">
        <f t="shared" si="66"/>
        <v>46236</v>
      </c>
      <c r="D877" s="44">
        <f t="shared" si="67"/>
        <v>46230</v>
      </c>
      <c r="E877" s="9" t="s">
        <v>41</v>
      </c>
      <c r="F877">
        <f t="shared" si="68"/>
        <v>0</v>
      </c>
      <c r="G877">
        <f t="shared" si="69"/>
        <v>56</v>
      </c>
      <c r="AJ877" s="40">
        <v>46230</v>
      </c>
      <c r="AK877" s="9" t="s">
        <v>41</v>
      </c>
      <c r="AL877" s="9" t="s">
        <v>41</v>
      </c>
      <c r="AM877" s="9"/>
      <c r="AN877" s="9">
        <v>32</v>
      </c>
      <c r="AO877" s="9">
        <v>0</v>
      </c>
      <c r="AP877" s="9">
        <v>3</v>
      </c>
      <c r="AQ877" s="9">
        <v>0</v>
      </c>
      <c r="AR877" s="9">
        <v>2</v>
      </c>
      <c r="AS877" s="9">
        <v>65</v>
      </c>
      <c r="AT877" s="9">
        <v>62</v>
      </c>
      <c r="AU877" s="9">
        <v>59</v>
      </c>
      <c r="AV877" s="9">
        <v>56</v>
      </c>
      <c r="AW877" s="9">
        <v>55</v>
      </c>
      <c r="AX877" s="9">
        <v>57</v>
      </c>
      <c r="AY877" s="9">
        <v>56</v>
      </c>
      <c r="AZ877" s="9">
        <v>59</v>
      </c>
    </row>
    <row r="878" spans="2:52">
      <c r="B878" t="str">
        <f t="shared" si="65"/>
        <v>Aug</v>
      </c>
      <c r="C878" s="43">
        <f t="shared" si="66"/>
        <v>46236</v>
      </c>
      <c r="D878" s="44">
        <f t="shared" si="67"/>
        <v>46230</v>
      </c>
      <c r="E878" s="9" t="s">
        <v>45</v>
      </c>
      <c r="F878">
        <f t="shared" si="68"/>
        <v>0</v>
      </c>
      <c r="G878">
        <f t="shared" si="69"/>
        <v>35</v>
      </c>
      <c r="AJ878" s="40">
        <v>46230</v>
      </c>
      <c r="AK878" s="9" t="s">
        <v>202</v>
      </c>
      <c r="AL878" s="9" t="s">
        <v>45</v>
      </c>
      <c r="AM878" s="9"/>
      <c r="AN878" s="9">
        <v>39</v>
      </c>
      <c r="AO878" s="9">
        <v>39</v>
      </c>
      <c r="AP878" s="9">
        <v>33</v>
      </c>
      <c r="AQ878" s="9">
        <v>28</v>
      </c>
      <c r="AR878" s="9">
        <v>23</v>
      </c>
      <c r="AS878" s="9">
        <v>24</v>
      </c>
      <c r="AT878" s="9">
        <v>29</v>
      </c>
      <c r="AU878" s="9">
        <v>35</v>
      </c>
      <c r="AV878" s="9">
        <v>32</v>
      </c>
      <c r="AW878" s="9">
        <v>32</v>
      </c>
      <c r="AX878" s="9">
        <v>25</v>
      </c>
      <c r="AY878" s="9">
        <v>31</v>
      </c>
      <c r="AZ878" s="9">
        <v>35</v>
      </c>
    </row>
    <row r="879" spans="2:52">
      <c r="B879" t="str">
        <f t="shared" si="65"/>
        <v>Aug</v>
      </c>
      <c r="C879" s="43">
        <f t="shared" si="66"/>
        <v>46236</v>
      </c>
      <c r="D879" s="44">
        <f t="shared" si="67"/>
        <v>46230</v>
      </c>
      <c r="E879" s="9" t="s">
        <v>46</v>
      </c>
      <c r="F879">
        <f t="shared" si="68"/>
        <v>0</v>
      </c>
      <c r="G879">
        <f t="shared" si="69"/>
        <v>110</v>
      </c>
      <c r="AJ879" s="40">
        <v>46230</v>
      </c>
      <c r="AK879" s="9" t="s">
        <v>202</v>
      </c>
      <c r="AL879" s="9" t="s">
        <v>46</v>
      </c>
      <c r="AM879" s="9"/>
      <c r="AN879" s="9">
        <v>30</v>
      </c>
      <c r="AO879" s="9">
        <v>0</v>
      </c>
      <c r="AP879" s="9">
        <v>3</v>
      </c>
      <c r="AQ879" s="9">
        <v>4</v>
      </c>
      <c r="AR879" s="9">
        <v>0</v>
      </c>
      <c r="AS879" s="9">
        <v>62</v>
      </c>
      <c r="AT879" s="9">
        <v>64</v>
      </c>
      <c r="AU879" s="9">
        <v>65</v>
      </c>
      <c r="AV879" s="9">
        <v>61</v>
      </c>
      <c r="AW879" s="9">
        <v>66</v>
      </c>
      <c r="AX879" s="9">
        <v>103</v>
      </c>
      <c r="AY879" s="9">
        <v>107</v>
      </c>
      <c r="AZ879" s="9">
        <v>110</v>
      </c>
    </row>
    <row r="880" spans="2:52">
      <c r="B880" t="str">
        <f t="shared" si="65"/>
        <v>Aug</v>
      </c>
      <c r="C880" s="43">
        <f t="shared" si="66"/>
        <v>46236</v>
      </c>
      <c r="D880" s="44">
        <f t="shared" si="67"/>
        <v>46230</v>
      </c>
      <c r="E880" s="9" t="s">
        <v>47</v>
      </c>
      <c r="F880">
        <f t="shared" si="68"/>
        <v>0</v>
      </c>
      <c r="G880">
        <f t="shared" si="69"/>
        <v>116</v>
      </c>
      <c r="AJ880" s="40">
        <v>46230</v>
      </c>
      <c r="AK880" s="9" t="s">
        <v>202</v>
      </c>
      <c r="AL880" s="9" t="s">
        <v>47</v>
      </c>
      <c r="AM880" s="9"/>
      <c r="AN880" s="9">
        <v>11</v>
      </c>
      <c r="AO880" s="9">
        <v>112</v>
      </c>
      <c r="AP880" s="9">
        <v>109</v>
      </c>
      <c r="AQ880" s="9">
        <v>107</v>
      </c>
      <c r="AR880" s="9">
        <v>111</v>
      </c>
      <c r="AS880" s="9">
        <v>108</v>
      </c>
      <c r="AT880" s="9">
        <v>113</v>
      </c>
      <c r="AU880" s="9">
        <v>116</v>
      </c>
      <c r="AV880" s="9">
        <v>118</v>
      </c>
      <c r="AW880" s="9">
        <v>118</v>
      </c>
      <c r="AX880" s="9">
        <v>115</v>
      </c>
      <c r="AY880" s="9">
        <v>112</v>
      </c>
      <c r="AZ880" s="9">
        <v>116</v>
      </c>
    </row>
    <row r="881" spans="2:52">
      <c r="B881" t="str">
        <f t="shared" si="65"/>
        <v>Aug</v>
      </c>
      <c r="C881" s="43">
        <f t="shared" si="66"/>
        <v>46236</v>
      </c>
      <c r="D881" s="44">
        <f t="shared" si="67"/>
        <v>46230</v>
      </c>
      <c r="E881" s="9" t="s">
        <v>206</v>
      </c>
      <c r="F881">
        <f t="shared" si="68"/>
        <v>0</v>
      </c>
      <c r="G881">
        <f t="shared" si="69"/>
        <v>50</v>
      </c>
      <c r="AJ881" s="40">
        <v>46230</v>
      </c>
      <c r="AK881" s="9" t="s">
        <v>43</v>
      </c>
      <c r="AL881" s="9" t="s">
        <v>206</v>
      </c>
      <c r="AM881" s="9"/>
      <c r="AN881" s="9">
        <v>65</v>
      </c>
      <c r="AO881" s="9">
        <v>62</v>
      </c>
      <c r="AP881" s="9">
        <v>71</v>
      </c>
      <c r="AQ881" s="9">
        <v>81</v>
      </c>
      <c r="AR881" s="9">
        <v>81</v>
      </c>
      <c r="AS881" s="9">
        <v>77</v>
      </c>
      <c r="AT881" s="9">
        <v>80</v>
      </c>
      <c r="AU881" s="9">
        <v>84</v>
      </c>
      <c r="AV881" s="9">
        <v>90</v>
      </c>
      <c r="AW881" s="9">
        <v>98</v>
      </c>
      <c r="AX881" s="9">
        <v>99</v>
      </c>
      <c r="AY881" s="9">
        <v>101</v>
      </c>
      <c r="AZ881" s="9">
        <v>94</v>
      </c>
    </row>
    <row r="882" spans="2:52">
      <c r="B882" t="str">
        <f t="shared" si="65"/>
        <v>Aug</v>
      </c>
      <c r="C882" s="43">
        <f t="shared" si="66"/>
        <v>46236</v>
      </c>
      <c r="D882" s="44">
        <f t="shared" si="67"/>
        <v>46230</v>
      </c>
      <c r="E882" s="9" t="s">
        <v>207</v>
      </c>
      <c r="F882">
        <f t="shared" si="68"/>
        <v>0</v>
      </c>
      <c r="G882">
        <f t="shared" si="69"/>
        <v>-28</v>
      </c>
      <c r="AJ882" s="40">
        <v>46230</v>
      </c>
      <c r="AK882" s="9" t="s">
        <v>203</v>
      </c>
      <c r="AL882" s="9" t="s">
        <v>207</v>
      </c>
      <c r="AM882" s="9"/>
      <c r="AN882" s="9">
        <v>50</v>
      </c>
      <c r="AO882" s="9">
        <v>0</v>
      </c>
      <c r="AP882" s="9">
        <v>9</v>
      </c>
      <c r="AQ882" s="9">
        <v>2</v>
      </c>
      <c r="AR882" s="9">
        <v>62</v>
      </c>
      <c r="AS882" s="9">
        <v>54</v>
      </c>
      <c r="AT882" s="9">
        <v>24</v>
      </c>
      <c r="AU882" s="9">
        <v>0</v>
      </c>
      <c r="AV882" s="9">
        <v>0</v>
      </c>
      <c r="AW882" s="9">
        <v>0</v>
      </c>
      <c r="AX882" s="9">
        <v>8</v>
      </c>
      <c r="AY882" s="9">
        <v>2</v>
      </c>
      <c r="AZ882" s="9">
        <v>1</v>
      </c>
    </row>
    <row r="883" spans="2:52">
      <c r="B883" t="str">
        <f t="shared" si="65"/>
        <v>Aug</v>
      </c>
      <c r="C883" s="43">
        <f t="shared" si="66"/>
        <v>46236</v>
      </c>
      <c r="D883" s="44">
        <f t="shared" si="67"/>
        <v>46230</v>
      </c>
      <c r="E883" s="9" t="s">
        <v>42</v>
      </c>
      <c r="F883">
        <f t="shared" si="68"/>
        <v>0</v>
      </c>
      <c r="G883">
        <f t="shared" si="69"/>
        <v>97</v>
      </c>
      <c r="AJ883" s="40">
        <v>46230</v>
      </c>
      <c r="AK883" s="9" t="s">
        <v>42</v>
      </c>
      <c r="AL883" s="9" t="s">
        <v>42</v>
      </c>
      <c r="AM883" s="9"/>
      <c r="AN883" s="9">
        <v>10</v>
      </c>
      <c r="AO883" s="9">
        <v>6</v>
      </c>
      <c r="AP883" s="9">
        <v>3</v>
      </c>
      <c r="AQ883" s="9">
        <v>6</v>
      </c>
      <c r="AR883" s="9">
        <v>7</v>
      </c>
      <c r="AS883" s="9">
        <v>0</v>
      </c>
      <c r="AT883" s="9">
        <v>4</v>
      </c>
      <c r="AU883" s="9">
        <v>7</v>
      </c>
      <c r="AV883" s="9">
        <v>38</v>
      </c>
      <c r="AW883" s="9">
        <v>97</v>
      </c>
      <c r="AX883" s="9">
        <v>98</v>
      </c>
      <c r="AY883" s="9">
        <v>104</v>
      </c>
      <c r="AZ883" s="9">
        <v>100</v>
      </c>
    </row>
    <row r="884" spans="2:52">
      <c r="B884" t="str">
        <f t="shared" si="65"/>
        <v>Aug</v>
      </c>
      <c r="C884" s="43">
        <f t="shared" si="66"/>
        <v>46236</v>
      </c>
      <c r="D884" s="44">
        <f t="shared" si="67"/>
        <v>46231</v>
      </c>
      <c r="E884" s="9" t="s">
        <v>31</v>
      </c>
      <c r="F884">
        <f t="shared" si="68"/>
        <v>0</v>
      </c>
      <c r="G884">
        <f t="shared" si="69"/>
        <v>39</v>
      </c>
      <c r="AJ884" s="40">
        <v>46231</v>
      </c>
      <c r="AK884" s="9" t="s">
        <v>204</v>
      </c>
      <c r="AL884" s="9" t="s">
        <v>31</v>
      </c>
      <c r="AM884" s="9"/>
      <c r="AN884" s="9">
        <v>110</v>
      </c>
      <c r="AO884" s="9">
        <v>121</v>
      </c>
      <c r="AP884" s="9">
        <v>109</v>
      </c>
      <c r="AQ884" s="9">
        <v>0</v>
      </c>
      <c r="AR884" s="9">
        <v>11</v>
      </c>
      <c r="AS884" s="9">
        <v>7</v>
      </c>
      <c r="AT884" s="9">
        <v>1</v>
      </c>
      <c r="AU884" s="9">
        <v>0</v>
      </c>
      <c r="AV884" s="9">
        <v>11</v>
      </c>
      <c r="AW884" s="9">
        <v>0</v>
      </c>
      <c r="AX884" s="9">
        <v>0</v>
      </c>
      <c r="AY884" s="9">
        <v>0</v>
      </c>
      <c r="AZ884" s="9">
        <v>45</v>
      </c>
    </row>
    <row r="885" spans="2:52">
      <c r="B885" t="str">
        <f t="shared" si="65"/>
        <v>Aug</v>
      </c>
      <c r="C885" s="43">
        <f t="shared" si="66"/>
        <v>46236</v>
      </c>
      <c r="D885" s="44">
        <f t="shared" si="67"/>
        <v>46231</v>
      </c>
      <c r="E885" s="9" t="s">
        <v>39</v>
      </c>
      <c r="F885">
        <f t="shared" si="68"/>
        <v>0</v>
      </c>
      <c r="G885">
        <f t="shared" si="69"/>
        <v>-232</v>
      </c>
      <c r="AJ885" s="40">
        <v>46231</v>
      </c>
      <c r="AK885" s="9" t="s">
        <v>205</v>
      </c>
      <c r="AL885" s="9" t="s">
        <v>39</v>
      </c>
      <c r="AM885" s="9"/>
      <c r="AN885" s="9">
        <v>77</v>
      </c>
      <c r="AO885" s="9">
        <v>71</v>
      </c>
      <c r="AP885" s="9">
        <v>40</v>
      </c>
      <c r="AQ885" s="9">
        <v>46</v>
      </c>
      <c r="AR885" s="9">
        <v>0</v>
      </c>
      <c r="AS885" s="9">
        <v>17</v>
      </c>
      <c r="AT885" s="9">
        <v>25</v>
      </c>
      <c r="AU885" s="9">
        <v>6</v>
      </c>
      <c r="AV885" s="9">
        <v>4</v>
      </c>
      <c r="AW885" s="9">
        <v>19</v>
      </c>
      <c r="AX885" s="9">
        <v>6</v>
      </c>
      <c r="AY885" s="9">
        <v>0</v>
      </c>
      <c r="AZ885" s="9">
        <v>8</v>
      </c>
    </row>
    <row r="886" spans="2:52">
      <c r="B886" t="str">
        <f t="shared" si="65"/>
        <v>Aug</v>
      </c>
      <c r="C886" s="43">
        <f t="shared" si="66"/>
        <v>46236</v>
      </c>
      <c r="D886" s="44">
        <f t="shared" si="67"/>
        <v>46231</v>
      </c>
      <c r="E886" s="9" t="s">
        <v>40</v>
      </c>
      <c r="F886">
        <f t="shared" si="68"/>
        <v>0</v>
      </c>
      <c r="G886">
        <f t="shared" si="69"/>
        <v>46</v>
      </c>
      <c r="AJ886" s="40">
        <v>46231</v>
      </c>
      <c r="AK886" s="9" t="s">
        <v>205</v>
      </c>
      <c r="AL886" s="9" t="s">
        <v>40</v>
      </c>
      <c r="AM886" s="9"/>
      <c r="AN886" s="9">
        <v>46</v>
      </c>
      <c r="AO886" s="9">
        <v>46</v>
      </c>
      <c r="AP886" s="9">
        <v>58</v>
      </c>
      <c r="AQ886" s="9">
        <v>53</v>
      </c>
      <c r="AR886" s="9">
        <v>45</v>
      </c>
      <c r="AS886" s="9">
        <v>50</v>
      </c>
      <c r="AT886" s="9">
        <v>51</v>
      </c>
      <c r="AU886" s="9">
        <v>42</v>
      </c>
      <c r="AV886" s="9">
        <v>59</v>
      </c>
      <c r="AW886" s="9">
        <v>70</v>
      </c>
      <c r="AX886" s="9">
        <v>66</v>
      </c>
      <c r="AY886" s="9">
        <v>65</v>
      </c>
      <c r="AZ886" s="9">
        <v>58</v>
      </c>
    </row>
    <row r="887" spans="2:52">
      <c r="B887" t="str">
        <f t="shared" si="65"/>
        <v>Aug</v>
      </c>
      <c r="C887" s="43">
        <f t="shared" si="66"/>
        <v>46236</v>
      </c>
      <c r="D887" s="44">
        <f t="shared" si="67"/>
        <v>46231</v>
      </c>
      <c r="E887" s="9" t="s">
        <v>41</v>
      </c>
      <c r="F887">
        <f t="shared" si="68"/>
        <v>0</v>
      </c>
      <c r="G887">
        <f t="shared" si="69"/>
        <v>-46</v>
      </c>
      <c r="AJ887" s="40">
        <v>46231</v>
      </c>
      <c r="AK887" s="9" t="s">
        <v>41</v>
      </c>
      <c r="AL887" s="9" t="s">
        <v>41</v>
      </c>
      <c r="AM887" s="9"/>
      <c r="AN887" s="9">
        <v>0</v>
      </c>
      <c r="AO887" s="9">
        <v>3</v>
      </c>
      <c r="AP887" s="9">
        <v>6</v>
      </c>
      <c r="AQ887" s="9">
        <v>30</v>
      </c>
      <c r="AR887" s="9">
        <v>31</v>
      </c>
      <c r="AS887" s="9">
        <v>26</v>
      </c>
      <c r="AT887" s="9">
        <v>24</v>
      </c>
      <c r="AU887" s="9">
        <v>25</v>
      </c>
      <c r="AV887" s="9">
        <v>23</v>
      </c>
      <c r="AW887" s="9">
        <v>24</v>
      </c>
      <c r="AX887" s="9">
        <v>0</v>
      </c>
      <c r="AY887" s="9">
        <v>17</v>
      </c>
      <c r="AZ887" s="9">
        <v>13</v>
      </c>
    </row>
    <row r="888" spans="2:52">
      <c r="B888" t="str">
        <f t="shared" si="65"/>
        <v>Aug</v>
      </c>
      <c r="C888" s="43">
        <f t="shared" si="66"/>
        <v>46236</v>
      </c>
      <c r="D888" s="44">
        <f t="shared" si="67"/>
        <v>46231</v>
      </c>
      <c r="E888" s="9" t="s">
        <v>45</v>
      </c>
      <c r="F888">
        <f t="shared" si="68"/>
        <v>0</v>
      </c>
      <c r="G888">
        <f t="shared" si="69"/>
        <v>-21</v>
      </c>
      <c r="AJ888" s="40">
        <v>46231</v>
      </c>
      <c r="AK888" s="9" t="s">
        <v>202</v>
      </c>
      <c r="AL888" s="9" t="s">
        <v>45</v>
      </c>
      <c r="AM888" s="9"/>
      <c r="AN888" s="9">
        <v>44</v>
      </c>
      <c r="AO888" s="9">
        <v>52</v>
      </c>
      <c r="AP888" s="9">
        <v>47</v>
      </c>
      <c r="AQ888" s="9">
        <v>47</v>
      </c>
      <c r="AR888" s="9">
        <v>55</v>
      </c>
      <c r="AS888" s="9">
        <v>48</v>
      </c>
      <c r="AT888" s="9">
        <v>77</v>
      </c>
      <c r="AU888" s="9">
        <v>0</v>
      </c>
      <c r="AV888" s="9">
        <v>10</v>
      </c>
      <c r="AW888" s="9">
        <v>14</v>
      </c>
      <c r="AX888" s="9">
        <v>18</v>
      </c>
      <c r="AY888" s="9">
        <v>6</v>
      </c>
      <c r="AZ888" s="9">
        <v>14</v>
      </c>
    </row>
    <row r="889" spans="2:52">
      <c r="B889" t="str">
        <f t="shared" si="65"/>
        <v>Aug</v>
      </c>
      <c r="C889" s="43">
        <f t="shared" si="66"/>
        <v>46236</v>
      </c>
      <c r="D889" s="44">
        <f t="shared" si="67"/>
        <v>46231</v>
      </c>
      <c r="E889" s="9" t="s">
        <v>46</v>
      </c>
      <c r="F889">
        <f t="shared" si="68"/>
        <v>0</v>
      </c>
      <c r="G889">
        <f t="shared" si="69"/>
        <v>36</v>
      </c>
      <c r="AJ889" s="40">
        <v>46231</v>
      </c>
      <c r="AK889" s="9" t="s">
        <v>202</v>
      </c>
      <c r="AL889" s="9" t="s">
        <v>46</v>
      </c>
      <c r="AM889" s="9"/>
      <c r="AN889" s="9">
        <v>0</v>
      </c>
      <c r="AO889" s="9">
        <v>1</v>
      </c>
      <c r="AP889" s="9">
        <v>0</v>
      </c>
      <c r="AQ889" s="9">
        <v>15</v>
      </c>
      <c r="AR889" s="9">
        <v>14</v>
      </c>
      <c r="AS889" s="9">
        <v>76</v>
      </c>
      <c r="AT889" s="9">
        <v>0</v>
      </c>
      <c r="AU889" s="9">
        <v>0</v>
      </c>
      <c r="AV889" s="9">
        <v>21</v>
      </c>
      <c r="AW889" s="9">
        <v>158</v>
      </c>
      <c r="AX889" s="9">
        <v>154</v>
      </c>
      <c r="AY889" s="9">
        <v>150</v>
      </c>
      <c r="AZ889" s="9">
        <v>146</v>
      </c>
    </row>
    <row r="890" spans="2:52">
      <c r="B890" t="str">
        <f t="shared" si="65"/>
        <v>Aug</v>
      </c>
      <c r="C890" s="43">
        <f t="shared" si="66"/>
        <v>46236</v>
      </c>
      <c r="D890" s="44">
        <f t="shared" si="67"/>
        <v>46231</v>
      </c>
      <c r="E890" s="9" t="s">
        <v>47</v>
      </c>
      <c r="F890">
        <f t="shared" si="68"/>
        <v>0</v>
      </c>
      <c r="G890">
        <f t="shared" si="69"/>
        <v>-116</v>
      </c>
      <c r="AJ890" s="40">
        <v>46231</v>
      </c>
      <c r="AK890" s="9" t="s">
        <v>202</v>
      </c>
      <c r="AL890" s="9" t="s">
        <v>47</v>
      </c>
      <c r="AM890" s="9"/>
      <c r="AN890" s="9">
        <v>0</v>
      </c>
      <c r="AO890" s="9">
        <v>0</v>
      </c>
      <c r="AP890" s="9">
        <v>1</v>
      </c>
      <c r="AQ890" s="9">
        <v>0</v>
      </c>
      <c r="AR890" s="9">
        <v>4</v>
      </c>
      <c r="AS890" s="9">
        <v>6</v>
      </c>
      <c r="AT890" s="9">
        <v>0</v>
      </c>
      <c r="AU890" s="9">
        <v>3</v>
      </c>
      <c r="AV890" s="9">
        <v>8</v>
      </c>
      <c r="AW890" s="9">
        <v>12</v>
      </c>
      <c r="AX890" s="9">
        <v>12</v>
      </c>
      <c r="AY890" s="9">
        <v>15</v>
      </c>
      <c r="AZ890" s="9">
        <v>0</v>
      </c>
    </row>
    <row r="891" spans="2:52">
      <c r="B891" t="str">
        <f t="shared" si="65"/>
        <v>Aug</v>
      </c>
      <c r="C891" s="43">
        <f t="shared" si="66"/>
        <v>46236</v>
      </c>
      <c r="D891" s="44">
        <f t="shared" si="67"/>
        <v>46231</v>
      </c>
      <c r="E891" s="9" t="s">
        <v>206</v>
      </c>
      <c r="F891">
        <f t="shared" si="68"/>
        <v>0</v>
      </c>
      <c r="G891">
        <f t="shared" si="69"/>
        <v>-94</v>
      </c>
      <c r="AJ891" s="40">
        <v>46231</v>
      </c>
      <c r="AK891" s="9" t="s">
        <v>43</v>
      </c>
      <c r="AL891" s="9" t="s">
        <v>206</v>
      </c>
      <c r="AM891" s="9"/>
      <c r="AN891" s="9">
        <v>76</v>
      </c>
      <c r="AO891" s="9">
        <v>128</v>
      </c>
      <c r="AP891" s="9">
        <v>134</v>
      </c>
      <c r="AQ891" s="9">
        <v>141</v>
      </c>
      <c r="AR891" s="9">
        <v>142</v>
      </c>
      <c r="AS891" s="9">
        <v>145</v>
      </c>
      <c r="AT891" s="9">
        <v>147</v>
      </c>
      <c r="AU891" s="9">
        <v>154</v>
      </c>
      <c r="AV891" s="9">
        <v>0</v>
      </c>
      <c r="AW891" s="9">
        <v>17</v>
      </c>
      <c r="AX891" s="9">
        <v>22</v>
      </c>
      <c r="AY891" s="9">
        <v>16</v>
      </c>
      <c r="AZ891" s="9">
        <v>0</v>
      </c>
    </row>
    <row r="892" spans="2:52">
      <c r="B892" t="str">
        <f t="shared" si="65"/>
        <v>Aug</v>
      </c>
      <c r="C892" s="43">
        <f t="shared" si="66"/>
        <v>46236</v>
      </c>
      <c r="D892" s="44">
        <f t="shared" si="67"/>
        <v>46231</v>
      </c>
      <c r="E892" s="9" t="s">
        <v>207</v>
      </c>
      <c r="F892">
        <f t="shared" si="68"/>
        <v>0</v>
      </c>
      <c r="G892">
        <f t="shared" si="69"/>
        <v>-1</v>
      </c>
      <c r="AJ892" s="40">
        <v>46231</v>
      </c>
      <c r="AK892" s="9" t="s">
        <v>203</v>
      </c>
      <c r="AL892" s="9" t="s">
        <v>207</v>
      </c>
      <c r="AM892" s="9"/>
      <c r="AN892" s="9">
        <v>0</v>
      </c>
      <c r="AO892" s="9">
        <v>6</v>
      </c>
      <c r="AP892" s="9">
        <v>0</v>
      </c>
      <c r="AQ892" s="9">
        <v>0</v>
      </c>
      <c r="AR892" s="9">
        <v>7</v>
      </c>
      <c r="AS892" s="9">
        <v>3</v>
      </c>
      <c r="AT892" s="9">
        <v>0</v>
      </c>
      <c r="AU892" s="9">
        <v>17</v>
      </c>
      <c r="AV892" s="9">
        <v>10</v>
      </c>
      <c r="AW892" s="9">
        <v>0</v>
      </c>
      <c r="AX892" s="9">
        <v>0</v>
      </c>
      <c r="AY892" s="9">
        <v>0</v>
      </c>
      <c r="AZ892" s="9">
        <v>0</v>
      </c>
    </row>
    <row r="893" spans="2:52">
      <c r="B893" t="str">
        <f t="shared" si="65"/>
        <v>Aug</v>
      </c>
      <c r="C893" s="43">
        <f t="shared" si="66"/>
        <v>46236</v>
      </c>
      <c r="D893" s="44">
        <f t="shared" si="67"/>
        <v>46231</v>
      </c>
      <c r="E893" s="9" t="s">
        <v>42</v>
      </c>
      <c r="F893">
        <f t="shared" si="68"/>
        <v>0</v>
      </c>
      <c r="G893">
        <f t="shared" si="69"/>
        <v>-94</v>
      </c>
      <c r="AJ893" s="40">
        <v>46231</v>
      </c>
      <c r="AK893" s="9" t="s">
        <v>42</v>
      </c>
      <c r="AL893" s="9" t="s">
        <v>42</v>
      </c>
      <c r="AM893" s="9"/>
      <c r="AN893" s="9">
        <v>49</v>
      </c>
      <c r="AO893" s="9">
        <v>0</v>
      </c>
      <c r="AP893" s="9">
        <v>0</v>
      </c>
      <c r="AQ893" s="9">
        <v>12</v>
      </c>
      <c r="AR893" s="9">
        <v>19</v>
      </c>
      <c r="AS893" s="9">
        <v>15</v>
      </c>
      <c r="AT893" s="9">
        <v>16</v>
      </c>
      <c r="AU893" s="9">
        <v>15</v>
      </c>
      <c r="AV893" s="9">
        <v>22</v>
      </c>
      <c r="AW893" s="9">
        <v>19</v>
      </c>
      <c r="AX893" s="9">
        <v>26</v>
      </c>
      <c r="AY893" s="9">
        <v>0</v>
      </c>
      <c r="AZ893" s="9">
        <v>6</v>
      </c>
    </row>
    <row r="894" spans="2:52">
      <c r="B894" t="str">
        <f t="shared" si="65"/>
        <v>Aug</v>
      </c>
      <c r="C894" s="43">
        <f t="shared" si="66"/>
        <v>46236</v>
      </c>
      <c r="D894" s="44">
        <f t="shared" si="67"/>
        <v>46232</v>
      </c>
      <c r="E894" s="9" t="s">
        <v>31</v>
      </c>
      <c r="F894">
        <f t="shared" si="68"/>
        <v>0</v>
      </c>
      <c r="G894">
        <f t="shared" si="69"/>
        <v>143</v>
      </c>
      <c r="AJ894" s="40">
        <v>46232</v>
      </c>
      <c r="AK894" s="9" t="s">
        <v>204</v>
      </c>
      <c r="AL894" s="9" t="s">
        <v>31</v>
      </c>
      <c r="AM894" s="9"/>
      <c r="AN894" s="9">
        <v>92</v>
      </c>
      <c r="AO894" s="9">
        <v>137</v>
      </c>
      <c r="AP894" s="9">
        <v>147</v>
      </c>
      <c r="AQ894" s="9">
        <v>162</v>
      </c>
      <c r="AR894" s="9">
        <v>149</v>
      </c>
      <c r="AS894" s="9">
        <v>140</v>
      </c>
      <c r="AT894" s="9">
        <v>148</v>
      </c>
      <c r="AU894" s="9">
        <v>163</v>
      </c>
      <c r="AV894" s="9">
        <v>199</v>
      </c>
      <c r="AW894" s="9">
        <v>167</v>
      </c>
      <c r="AX894" s="9">
        <v>163</v>
      </c>
      <c r="AY894" s="9">
        <v>183</v>
      </c>
      <c r="AZ894" s="9">
        <v>188</v>
      </c>
    </row>
    <row r="895" spans="2:52">
      <c r="B895" t="str">
        <f t="shared" si="65"/>
        <v>Aug</v>
      </c>
      <c r="C895" s="43">
        <f t="shared" si="66"/>
        <v>46236</v>
      </c>
      <c r="D895" s="44">
        <f t="shared" si="67"/>
        <v>46232</v>
      </c>
      <c r="E895" s="9" t="s">
        <v>39</v>
      </c>
      <c r="F895">
        <f t="shared" si="68"/>
        <v>0</v>
      </c>
      <c r="G895">
        <f t="shared" si="69"/>
        <v>15</v>
      </c>
      <c r="AJ895" s="40">
        <v>46232</v>
      </c>
      <c r="AK895" s="9" t="s">
        <v>205</v>
      </c>
      <c r="AL895" s="9" t="s">
        <v>39</v>
      </c>
      <c r="AM895" s="9"/>
      <c r="AN895" s="9">
        <v>71</v>
      </c>
      <c r="AO895" s="9">
        <v>77</v>
      </c>
      <c r="AP895" s="9">
        <v>94</v>
      </c>
      <c r="AQ895" s="9">
        <v>240</v>
      </c>
      <c r="AR895" s="9">
        <v>225</v>
      </c>
      <c r="AS895" s="9">
        <v>237</v>
      </c>
      <c r="AT895" s="9">
        <v>232</v>
      </c>
      <c r="AU895" s="9">
        <v>232</v>
      </c>
      <c r="AV895" s="9">
        <v>0</v>
      </c>
      <c r="AW895" s="9">
        <v>30</v>
      </c>
      <c r="AX895" s="9">
        <v>37</v>
      </c>
      <c r="AY895" s="9">
        <v>32</v>
      </c>
      <c r="AZ895" s="9">
        <v>23</v>
      </c>
    </row>
    <row r="896" spans="2:52">
      <c r="B896" t="str">
        <f t="shared" si="65"/>
        <v>Aug</v>
      </c>
      <c r="C896" s="43">
        <f t="shared" si="66"/>
        <v>46236</v>
      </c>
      <c r="D896" s="44">
        <f t="shared" si="67"/>
        <v>46232</v>
      </c>
      <c r="E896" s="9" t="s">
        <v>40</v>
      </c>
      <c r="F896">
        <f t="shared" si="68"/>
        <v>0</v>
      </c>
      <c r="G896">
        <f t="shared" si="69"/>
        <v>-37</v>
      </c>
      <c r="AJ896" s="40">
        <v>46232</v>
      </c>
      <c r="AK896" s="9" t="s">
        <v>205</v>
      </c>
      <c r="AL896" s="9" t="s">
        <v>40</v>
      </c>
      <c r="AM896" s="9"/>
      <c r="AN896" s="9">
        <v>53</v>
      </c>
      <c r="AO896" s="9">
        <v>59</v>
      </c>
      <c r="AP896" s="9">
        <v>70</v>
      </c>
      <c r="AQ896" s="9">
        <v>76</v>
      </c>
      <c r="AR896" s="9">
        <v>213</v>
      </c>
      <c r="AS896" s="9">
        <v>215</v>
      </c>
      <c r="AT896" s="9">
        <v>210</v>
      </c>
      <c r="AU896" s="9">
        <v>0</v>
      </c>
      <c r="AV896" s="9">
        <v>57</v>
      </c>
      <c r="AW896" s="9">
        <v>47</v>
      </c>
      <c r="AX896" s="9">
        <v>46</v>
      </c>
      <c r="AY896" s="9">
        <v>24</v>
      </c>
      <c r="AZ896" s="9">
        <v>21</v>
      </c>
    </row>
    <row r="897" spans="2:52">
      <c r="B897" t="str">
        <f t="shared" si="65"/>
        <v>Aug</v>
      </c>
      <c r="C897" s="43">
        <f t="shared" si="66"/>
        <v>46236</v>
      </c>
      <c r="D897" s="44">
        <f t="shared" si="67"/>
        <v>46232</v>
      </c>
      <c r="E897" s="9" t="s">
        <v>41</v>
      </c>
      <c r="F897">
        <f t="shared" si="68"/>
        <v>0</v>
      </c>
      <c r="G897">
        <f t="shared" si="69"/>
        <v>29</v>
      </c>
      <c r="AJ897" s="40">
        <v>46232</v>
      </c>
      <c r="AK897" s="9" t="s">
        <v>41</v>
      </c>
      <c r="AL897" s="9" t="s">
        <v>41</v>
      </c>
      <c r="AM897" s="9"/>
      <c r="AN897" s="9">
        <v>0</v>
      </c>
      <c r="AO897" s="9">
        <v>121</v>
      </c>
      <c r="AP897" s="9">
        <v>0</v>
      </c>
      <c r="AQ897" s="9">
        <v>0</v>
      </c>
      <c r="AR897" s="9">
        <v>7</v>
      </c>
      <c r="AS897" s="9">
        <v>9</v>
      </c>
      <c r="AT897" s="9">
        <v>7</v>
      </c>
      <c r="AU897" s="9">
        <v>10</v>
      </c>
      <c r="AV897" s="9">
        <v>6</v>
      </c>
      <c r="AW897" s="9">
        <v>9</v>
      </c>
      <c r="AX897" s="9">
        <v>0</v>
      </c>
      <c r="AY897" s="9">
        <v>38</v>
      </c>
      <c r="AZ897" s="9">
        <v>42</v>
      </c>
    </row>
    <row r="898" spans="2:52">
      <c r="B898" t="str">
        <f t="shared" si="65"/>
        <v>Aug</v>
      </c>
      <c r="C898" s="43">
        <f t="shared" si="66"/>
        <v>46236</v>
      </c>
      <c r="D898" s="44">
        <f t="shared" si="67"/>
        <v>46232</v>
      </c>
      <c r="E898" s="9" t="s">
        <v>45</v>
      </c>
      <c r="F898">
        <f t="shared" si="68"/>
        <v>0</v>
      </c>
      <c r="G898">
        <f t="shared" si="69"/>
        <v>10</v>
      </c>
      <c r="AJ898" s="40">
        <v>46232</v>
      </c>
      <c r="AK898" s="9" t="s">
        <v>202</v>
      </c>
      <c r="AL898" s="9" t="s">
        <v>45</v>
      </c>
      <c r="AM898" s="9"/>
      <c r="AN898" s="9">
        <v>25</v>
      </c>
      <c r="AO898" s="9">
        <v>21</v>
      </c>
      <c r="AP898" s="9">
        <v>18</v>
      </c>
      <c r="AQ898" s="9">
        <v>41</v>
      </c>
      <c r="AR898" s="9">
        <v>0</v>
      </c>
      <c r="AS898" s="9">
        <v>0</v>
      </c>
      <c r="AT898" s="9">
        <v>0</v>
      </c>
      <c r="AU898" s="9">
        <v>0</v>
      </c>
      <c r="AV898" s="9">
        <v>5</v>
      </c>
      <c r="AW898" s="9">
        <v>10</v>
      </c>
      <c r="AX898" s="9">
        <v>18</v>
      </c>
      <c r="AY898" s="9">
        <v>20</v>
      </c>
      <c r="AZ898" s="9">
        <v>24</v>
      </c>
    </row>
    <row r="899" spans="2:52">
      <c r="B899" t="str">
        <f t="shared" si="65"/>
        <v>Aug</v>
      </c>
      <c r="C899" s="43">
        <f t="shared" si="66"/>
        <v>46236</v>
      </c>
      <c r="D899" s="44">
        <f t="shared" si="67"/>
        <v>46232</v>
      </c>
      <c r="E899" s="9" t="s">
        <v>46</v>
      </c>
      <c r="F899">
        <f t="shared" si="68"/>
        <v>0</v>
      </c>
      <c r="G899">
        <f t="shared" si="69"/>
        <v>-111</v>
      </c>
      <c r="AJ899" s="40">
        <v>46232</v>
      </c>
      <c r="AK899" s="9" t="s">
        <v>202</v>
      </c>
      <c r="AL899" s="9" t="s">
        <v>46</v>
      </c>
      <c r="AM899" s="9"/>
      <c r="AN899" s="9">
        <v>18</v>
      </c>
      <c r="AO899" s="9">
        <v>0</v>
      </c>
      <c r="AP899" s="9">
        <v>0</v>
      </c>
      <c r="AQ899" s="9">
        <v>5</v>
      </c>
      <c r="AR899" s="9">
        <v>8</v>
      </c>
      <c r="AS899" s="9">
        <v>50</v>
      </c>
      <c r="AT899" s="9">
        <v>49</v>
      </c>
      <c r="AU899" s="9">
        <v>54</v>
      </c>
      <c r="AV899" s="9">
        <v>55</v>
      </c>
      <c r="AW899" s="9">
        <v>0</v>
      </c>
      <c r="AX899" s="9">
        <v>11</v>
      </c>
      <c r="AY899" s="9">
        <v>33</v>
      </c>
      <c r="AZ899" s="9">
        <v>35</v>
      </c>
    </row>
    <row r="900" spans="2:52">
      <c r="B900" t="str">
        <f t="shared" si="65"/>
        <v>Aug</v>
      </c>
      <c r="C900" s="43">
        <f t="shared" si="66"/>
        <v>46236</v>
      </c>
      <c r="D900" s="44">
        <f t="shared" si="67"/>
        <v>46232</v>
      </c>
      <c r="E900" s="9" t="s">
        <v>47</v>
      </c>
      <c r="F900">
        <f t="shared" si="68"/>
        <v>0</v>
      </c>
      <c r="G900">
        <f t="shared" si="69"/>
        <v>0</v>
      </c>
      <c r="AJ900" s="40">
        <v>46232</v>
      </c>
      <c r="AK900" s="9" t="s">
        <v>202</v>
      </c>
      <c r="AL900" s="9" t="s">
        <v>47</v>
      </c>
      <c r="AM900" s="9"/>
      <c r="AN900" s="9">
        <v>30</v>
      </c>
      <c r="AO900" s="9">
        <v>26</v>
      </c>
      <c r="AP900" s="9">
        <v>27</v>
      </c>
      <c r="AQ900" s="9">
        <v>0</v>
      </c>
      <c r="AR900" s="9">
        <v>0</v>
      </c>
      <c r="AS900" s="9">
        <v>0</v>
      </c>
      <c r="AT900" s="9">
        <v>3</v>
      </c>
      <c r="AU900" s="9">
        <v>2</v>
      </c>
      <c r="AV900" s="9">
        <v>56</v>
      </c>
      <c r="AW900" s="9">
        <v>0</v>
      </c>
      <c r="AX900" s="9">
        <v>0</v>
      </c>
      <c r="AY900" s="9">
        <v>0</v>
      </c>
      <c r="AZ900" s="9">
        <v>0</v>
      </c>
    </row>
    <row r="901" spans="2:52">
      <c r="B901" t="str">
        <f t="shared" ref="B901:B964" si="70">TEXT(C901,"MMM")</f>
        <v>Aug</v>
      </c>
      <c r="C901" s="43">
        <f t="shared" ref="C901:C964" si="71">AJ901+(8-WEEKDAY(AJ901))</f>
        <v>46236</v>
      </c>
      <c r="D901" s="44">
        <f t="shared" ref="D901:D964" si="72">AJ901</f>
        <v>46232</v>
      </c>
      <c r="E901" s="9" t="s">
        <v>206</v>
      </c>
      <c r="F901">
        <f t="shared" ref="F901:F964" si="73">IF(SUM(V901:AI901)&lt;=0,0,SUM(V901:AI901))</f>
        <v>0</v>
      </c>
      <c r="G901">
        <f t="shared" si="69"/>
        <v>3</v>
      </c>
      <c r="AJ901" s="40">
        <v>46232</v>
      </c>
      <c r="AK901" s="9" t="s">
        <v>43</v>
      </c>
      <c r="AL901" s="9" t="s">
        <v>206</v>
      </c>
      <c r="AM901" s="9"/>
      <c r="AN901" s="9">
        <v>26</v>
      </c>
      <c r="AO901" s="9">
        <v>0</v>
      </c>
      <c r="AP901" s="9">
        <v>22</v>
      </c>
      <c r="AQ901" s="9">
        <v>20</v>
      </c>
      <c r="AR901" s="9">
        <v>16</v>
      </c>
      <c r="AS901" s="9">
        <v>0</v>
      </c>
      <c r="AT901" s="9">
        <v>0</v>
      </c>
      <c r="AU901" s="9">
        <v>0</v>
      </c>
      <c r="AV901" s="9">
        <v>63</v>
      </c>
      <c r="AW901" s="9">
        <v>65</v>
      </c>
      <c r="AX901" s="9">
        <v>61</v>
      </c>
      <c r="AY901" s="9">
        <v>0</v>
      </c>
      <c r="AZ901" s="9">
        <v>3</v>
      </c>
    </row>
    <row r="902" spans="2:52">
      <c r="B902" t="str">
        <f t="shared" si="70"/>
        <v>Aug</v>
      </c>
      <c r="C902" s="43">
        <f t="shared" si="71"/>
        <v>46236</v>
      </c>
      <c r="D902" s="44">
        <f t="shared" si="72"/>
        <v>46232</v>
      </c>
      <c r="E902" s="9" t="s">
        <v>207</v>
      </c>
      <c r="F902">
        <f t="shared" si="73"/>
        <v>0</v>
      </c>
      <c r="G902">
        <f t="shared" si="69"/>
        <v>112</v>
      </c>
      <c r="AJ902" s="40">
        <v>46232</v>
      </c>
      <c r="AK902" s="9" t="s">
        <v>203</v>
      </c>
      <c r="AL902" s="9" t="s">
        <v>207</v>
      </c>
      <c r="AM902" s="9"/>
      <c r="AN902" s="9">
        <v>44</v>
      </c>
      <c r="AO902" s="9">
        <v>0</v>
      </c>
      <c r="AP902" s="9">
        <v>2</v>
      </c>
      <c r="AQ902" s="9">
        <v>10</v>
      </c>
      <c r="AR902" s="9">
        <v>9</v>
      </c>
      <c r="AS902" s="9">
        <v>7</v>
      </c>
      <c r="AT902" s="9">
        <v>11</v>
      </c>
      <c r="AU902" s="9">
        <v>14</v>
      </c>
      <c r="AV902" s="9">
        <v>7</v>
      </c>
      <c r="AW902" s="9">
        <v>46</v>
      </c>
      <c r="AX902" s="9">
        <v>54</v>
      </c>
      <c r="AY902" s="9">
        <v>111</v>
      </c>
      <c r="AZ902" s="9">
        <v>112</v>
      </c>
    </row>
    <row r="903" spans="2:52">
      <c r="B903" t="str">
        <f t="shared" si="70"/>
        <v>Aug</v>
      </c>
      <c r="C903" s="43">
        <f t="shared" si="71"/>
        <v>46236</v>
      </c>
      <c r="D903" s="44">
        <f t="shared" si="72"/>
        <v>46232</v>
      </c>
      <c r="E903" s="9" t="s">
        <v>42</v>
      </c>
      <c r="F903">
        <f t="shared" si="73"/>
        <v>0</v>
      </c>
      <c r="G903">
        <f t="shared" si="69"/>
        <v>27</v>
      </c>
      <c r="AJ903" s="40">
        <v>46232</v>
      </c>
      <c r="AK903" s="9" t="s">
        <v>42</v>
      </c>
      <c r="AL903" s="9" t="s">
        <v>42</v>
      </c>
      <c r="AM903" s="9"/>
      <c r="AN903" s="9">
        <v>35</v>
      </c>
      <c r="AO903" s="9">
        <v>42</v>
      </c>
      <c r="AP903" s="9">
        <v>90</v>
      </c>
      <c r="AQ903" s="9">
        <v>86</v>
      </c>
      <c r="AR903" s="9">
        <v>80</v>
      </c>
      <c r="AS903" s="9">
        <v>44</v>
      </c>
      <c r="AT903" s="9">
        <v>42</v>
      </c>
      <c r="AU903" s="9">
        <v>41</v>
      </c>
      <c r="AV903" s="9">
        <v>46</v>
      </c>
      <c r="AW903" s="9">
        <v>40</v>
      </c>
      <c r="AX903" s="9">
        <v>34</v>
      </c>
      <c r="AY903" s="9">
        <v>31</v>
      </c>
      <c r="AZ903" s="9">
        <v>33</v>
      </c>
    </row>
    <row r="904" spans="2:52">
      <c r="B904" t="str">
        <f t="shared" si="70"/>
        <v>Aug</v>
      </c>
      <c r="C904" s="43">
        <f t="shared" si="71"/>
        <v>46236</v>
      </c>
      <c r="D904" s="44">
        <f t="shared" si="72"/>
        <v>46233</v>
      </c>
      <c r="E904" s="9" t="s">
        <v>31</v>
      </c>
      <c r="F904">
        <f t="shared" si="73"/>
        <v>0</v>
      </c>
      <c r="G904">
        <f t="shared" si="69"/>
        <v>-29</v>
      </c>
      <c r="AJ904" s="40">
        <v>46233</v>
      </c>
      <c r="AK904" s="9" t="s">
        <v>204</v>
      </c>
      <c r="AL904" s="9" t="s">
        <v>31</v>
      </c>
      <c r="AM904" s="9"/>
      <c r="AN904" s="9">
        <v>129</v>
      </c>
      <c r="AO904" s="9">
        <v>112</v>
      </c>
      <c r="AP904" s="9">
        <v>94</v>
      </c>
      <c r="AQ904" s="9">
        <v>87</v>
      </c>
      <c r="AR904" s="9">
        <v>84</v>
      </c>
      <c r="AS904" s="9">
        <v>70</v>
      </c>
      <c r="AT904" s="9">
        <v>56</v>
      </c>
      <c r="AU904" s="9">
        <v>50</v>
      </c>
      <c r="AV904" s="9">
        <v>52</v>
      </c>
      <c r="AW904" s="9">
        <v>111</v>
      </c>
      <c r="AX904" s="9">
        <v>149</v>
      </c>
      <c r="AY904" s="9">
        <v>167</v>
      </c>
      <c r="AZ904" s="9">
        <v>159</v>
      </c>
    </row>
    <row r="905" spans="2:52">
      <c r="B905" t="str">
        <f t="shared" si="70"/>
        <v>Aug</v>
      </c>
      <c r="C905" s="43">
        <f t="shared" si="71"/>
        <v>46236</v>
      </c>
      <c r="D905" s="44">
        <f t="shared" si="72"/>
        <v>46233</v>
      </c>
      <c r="E905" s="9" t="s">
        <v>39</v>
      </c>
      <c r="F905">
        <f t="shared" si="73"/>
        <v>0</v>
      </c>
      <c r="G905">
        <f t="shared" si="69"/>
        <v>73</v>
      </c>
      <c r="AJ905" s="40">
        <v>46233</v>
      </c>
      <c r="AK905" s="9" t="s">
        <v>205</v>
      </c>
      <c r="AL905" s="9" t="s">
        <v>39</v>
      </c>
      <c r="AM905" s="9"/>
      <c r="AN905" s="9">
        <v>0</v>
      </c>
      <c r="AO905" s="9">
        <v>1</v>
      </c>
      <c r="AP905" s="9">
        <v>3</v>
      </c>
      <c r="AQ905" s="9">
        <v>9</v>
      </c>
      <c r="AR905" s="9">
        <v>0</v>
      </c>
      <c r="AS905" s="9">
        <v>7</v>
      </c>
      <c r="AT905" s="9">
        <v>4</v>
      </c>
      <c r="AU905" s="9">
        <v>4</v>
      </c>
      <c r="AV905" s="9">
        <v>14</v>
      </c>
      <c r="AW905" s="9">
        <v>30</v>
      </c>
      <c r="AX905" s="9">
        <v>3</v>
      </c>
      <c r="AY905" s="9">
        <v>127</v>
      </c>
      <c r="AZ905" s="9">
        <v>96</v>
      </c>
    </row>
    <row r="906" spans="2:52">
      <c r="B906" t="str">
        <f t="shared" si="70"/>
        <v>Aug</v>
      </c>
      <c r="C906" s="43">
        <f t="shared" si="71"/>
        <v>46236</v>
      </c>
      <c r="D906" s="44">
        <f t="shared" si="72"/>
        <v>46233</v>
      </c>
      <c r="E906" s="9" t="s">
        <v>40</v>
      </c>
      <c r="F906">
        <f t="shared" si="73"/>
        <v>0</v>
      </c>
      <c r="G906">
        <f t="shared" si="69"/>
        <v>55</v>
      </c>
      <c r="AJ906" s="40">
        <v>46233</v>
      </c>
      <c r="AK906" s="9" t="s">
        <v>205</v>
      </c>
      <c r="AL906" s="9" t="s">
        <v>40</v>
      </c>
      <c r="AM906" s="9"/>
      <c r="AN906" s="9">
        <v>39</v>
      </c>
      <c r="AO906" s="9">
        <v>38</v>
      </c>
      <c r="AP906" s="9">
        <v>6</v>
      </c>
      <c r="AQ906" s="9">
        <v>4</v>
      </c>
      <c r="AR906" s="9">
        <v>0</v>
      </c>
      <c r="AS906" s="9">
        <v>0</v>
      </c>
      <c r="AT906" s="9">
        <v>26</v>
      </c>
      <c r="AU906" s="9">
        <v>34</v>
      </c>
      <c r="AV906" s="9">
        <v>33</v>
      </c>
      <c r="AW906" s="9">
        <v>26</v>
      </c>
      <c r="AX906" s="9">
        <v>0</v>
      </c>
      <c r="AY906" s="9">
        <v>40</v>
      </c>
      <c r="AZ906" s="9">
        <v>76</v>
      </c>
    </row>
    <row r="907" spans="2:52">
      <c r="B907" t="str">
        <f t="shared" si="70"/>
        <v>Aug</v>
      </c>
      <c r="C907" s="43">
        <f t="shared" si="71"/>
        <v>46236</v>
      </c>
      <c r="D907" s="44">
        <f t="shared" si="72"/>
        <v>46233</v>
      </c>
      <c r="E907" s="9" t="s">
        <v>41</v>
      </c>
      <c r="F907">
        <f t="shared" si="73"/>
        <v>0</v>
      </c>
      <c r="G907">
        <f t="shared" si="69"/>
        <v>-41</v>
      </c>
      <c r="AJ907" s="40">
        <v>46233</v>
      </c>
      <c r="AK907" s="9" t="s">
        <v>41</v>
      </c>
      <c r="AL907" s="9" t="s">
        <v>41</v>
      </c>
      <c r="AM907" s="9"/>
      <c r="AN907" s="9">
        <v>0</v>
      </c>
      <c r="AO907" s="9">
        <v>2</v>
      </c>
      <c r="AP907" s="9">
        <v>0</v>
      </c>
      <c r="AQ907" s="9">
        <v>0</v>
      </c>
      <c r="AR907" s="9">
        <v>17</v>
      </c>
      <c r="AS907" s="9">
        <v>21</v>
      </c>
      <c r="AT907" s="9">
        <v>25</v>
      </c>
      <c r="AU907" s="9">
        <v>28</v>
      </c>
      <c r="AV907" s="9">
        <v>0</v>
      </c>
      <c r="AW907" s="9">
        <v>5</v>
      </c>
      <c r="AX907" s="9">
        <v>9</v>
      </c>
      <c r="AY907" s="9">
        <v>1</v>
      </c>
      <c r="AZ907" s="9">
        <v>1</v>
      </c>
    </row>
    <row r="908" spans="2:52">
      <c r="B908" t="str">
        <f t="shared" si="70"/>
        <v>Aug</v>
      </c>
      <c r="C908" s="43">
        <f t="shared" si="71"/>
        <v>46236</v>
      </c>
      <c r="D908" s="44">
        <f t="shared" si="72"/>
        <v>46233</v>
      </c>
      <c r="E908" s="9" t="s">
        <v>45</v>
      </c>
      <c r="F908">
        <f t="shared" si="73"/>
        <v>0</v>
      </c>
      <c r="G908">
        <f t="shared" si="69"/>
        <v>-15</v>
      </c>
      <c r="AJ908" s="40">
        <v>46233</v>
      </c>
      <c r="AK908" s="9" t="s">
        <v>202</v>
      </c>
      <c r="AL908" s="9" t="s">
        <v>45</v>
      </c>
      <c r="AM908" s="9"/>
      <c r="AN908" s="9">
        <v>0</v>
      </c>
      <c r="AO908" s="9">
        <v>0</v>
      </c>
      <c r="AP908" s="9">
        <v>0</v>
      </c>
      <c r="AQ908" s="9">
        <v>6</v>
      </c>
      <c r="AR908" s="9">
        <v>8</v>
      </c>
      <c r="AS908" s="9">
        <v>68</v>
      </c>
      <c r="AT908" s="9">
        <v>75</v>
      </c>
      <c r="AU908" s="9">
        <v>78</v>
      </c>
      <c r="AV908" s="9">
        <v>0</v>
      </c>
      <c r="AW908" s="9">
        <v>0</v>
      </c>
      <c r="AX908" s="9">
        <v>8</v>
      </c>
      <c r="AY908" s="9">
        <v>12</v>
      </c>
      <c r="AZ908" s="9">
        <v>9</v>
      </c>
    </row>
    <row r="909" spans="2:52">
      <c r="B909" t="str">
        <f t="shared" si="70"/>
        <v>Aug</v>
      </c>
      <c r="C909" s="43">
        <f t="shared" si="71"/>
        <v>46236</v>
      </c>
      <c r="D909" s="44">
        <f t="shared" si="72"/>
        <v>46233</v>
      </c>
      <c r="E909" s="9" t="s">
        <v>46</v>
      </c>
      <c r="F909">
        <f t="shared" si="73"/>
        <v>0</v>
      </c>
      <c r="G909">
        <f t="shared" si="69"/>
        <v>17</v>
      </c>
      <c r="AJ909" s="40">
        <v>46233</v>
      </c>
      <c r="AK909" s="9" t="s">
        <v>202</v>
      </c>
      <c r="AL909" s="9" t="s">
        <v>46</v>
      </c>
      <c r="AM909" s="9"/>
      <c r="AN909" s="9">
        <v>86</v>
      </c>
      <c r="AO909" s="9">
        <v>82</v>
      </c>
      <c r="AP909" s="9">
        <v>85</v>
      </c>
      <c r="AQ909" s="9">
        <v>84</v>
      </c>
      <c r="AR909" s="9">
        <v>85</v>
      </c>
      <c r="AS909" s="9">
        <v>83</v>
      </c>
      <c r="AT909" s="9">
        <v>84</v>
      </c>
      <c r="AU909" s="9">
        <v>55</v>
      </c>
      <c r="AV909" s="9">
        <v>55</v>
      </c>
      <c r="AW909" s="9">
        <v>53</v>
      </c>
      <c r="AX909" s="9">
        <v>49</v>
      </c>
      <c r="AY909" s="9">
        <v>54</v>
      </c>
      <c r="AZ909" s="9">
        <v>52</v>
      </c>
    </row>
    <row r="910" spans="2:52">
      <c r="B910" t="str">
        <f t="shared" si="70"/>
        <v>Aug</v>
      </c>
      <c r="C910" s="43">
        <f t="shared" si="71"/>
        <v>46236</v>
      </c>
      <c r="D910" s="44">
        <f t="shared" si="72"/>
        <v>46233</v>
      </c>
      <c r="E910" s="9" t="s">
        <v>47</v>
      </c>
      <c r="F910">
        <f t="shared" si="73"/>
        <v>0</v>
      </c>
      <c r="G910">
        <f t="shared" si="69"/>
        <v>12</v>
      </c>
      <c r="AJ910" s="40">
        <v>46233</v>
      </c>
      <c r="AK910" s="9" t="s">
        <v>202</v>
      </c>
      <c r="AL910" s="9" t="s">
        <v>47</v>
      </c>
      <c r="AM910" s="9"/>
      <c r="AN910" s="9">
        <v>8</v>
      </c>
      <c r="AO910" s="9">
        <v>13</v>
      </c>
      <c r="AP910" s="9">
        <v>11</v>
      </c>
      <c r="AQ910" s="9">
        <v>11</v>
      </c>
      <c r="AR910" s="9">
        <v>13</v>
      </c>
      <c r="AS910" s="9">
        <v>10</v>
      </c>
      <c r="AT910" s="9">
        <v>0</v>
      </c>
      <c r="AU910" s="9">
        <v>5</v>
      </c>
      <c r="AV910" s="9">
        <v>0</v>
      </c>
      <c r="AW910" s="9">
        <v>16</v>
      </c>
      <c r="AX910" s="9">
        <v>16</v>
      </c>
      <c r="AY910" s="9">
        <v>15</v>
      </c>
      <c r="AZ910" s="9">
        <v>12</v>
      </c>
    </row>
    <row r="911" spans="2:52">
      <c r="B911" t="str">
        <f t="shared" si="70"/>
        <v>Aug</v>
      </c>
      <c r="C911" s="43">
        <f t="shared" si="71"/>
        <v>46236</v>
      </c>
      <c r="D911" s="44">
        <f t="shared" si="72"/>
        <v>46233</v>
      </c>
      <c r="E911" s="9" t="s">
        <v>206</v>
      </c>
      <c r="F911">
        <f t="shared" si="73"/>
        <v>0</v>
      </c>
      <c r="G911">
        <f t="shared" ref="G911:G974" si="74">SUM(H911:U911)+AZ911-AZ901</f>
        <v>57</v>
      </c>
      <c r="AJ911" s="40">
        <v>46233</v>
      </c>
      <c r="AK911" s="9" t="s">
        <v>43</v>
      </c>
      <c r="AL911" s="9" t="s">
        <v>206</v>
      </c>
      <c r="AM911" s="9"/>
      <c r="AN911" s="9">
        <v>60</v>
      </c>
      <c r="AO911" s="9">
        <v>0</v>
      </c>
      <c r="AP911" s="9">
        <v>4</v>
      </c>
      <c r="AQ911" s="9">
        <v>0</v>
      </c>
      <c r="AR911" s="9">
        <v>8</v>
      </c>
      <c r="AS911" s="9">
        <v>13</v>
      </c>
      <c r="AT911" s="9">
        <v>22</v>
      </c>
      <c r="AU911" s="9">
        <v>23</v>
      </c>
      <c r="AV911" s="9">
        <v>25</v>
      </c>
      <c r="AW911" s="9">
        <v>28</v>
      </c>
      <c r="AX911" s="9">
        <v>0</v>
      </c>
      <c r="AY911" s="9">
        <v>4</v>
      </c>
      <c r="AZ911" s="9">
        <v>60</v>
      </c>
    </row>
    <row r="912" spans="2:52">
      <c r="B912" t="str">
        <f t="shared" si="70"/>
        <v>Aug</v>
      </c>
      <c r="C912" s="43">
        <f t="shared" si="71"/>
        <v>46236</v>
      </c>
      <c r="D912" s="44">
        <f t="shared" si="72"/>
        <v>46233</v>
      </c>
      <c r="E912" s="9" t="s">
        <v>207</v>
      </c>
      <c r="F912">
        <f t="shared" si="73"/>
        <v>0</v>
      </c>
      <c r="G912">
        <f t="shared" si="74"/>
        <v>-77</v>
      </c>
      <c r="AJ912" s="40">
        <v>46233</v>
      </c>
      <c r="AK912" s="9" t="s">
        <v>203</v>
      </c>
      <c r="AL912" s="9" t="s">
        <v>207</v>
      </c>
      <c r="AM912" s="9"/>
      <c r="AN912" s="9">
        <v>38</v>
      </c>
      <c r="AO912" s="9">
        <v>75</v>
      </c>
      <c r="AP912" s="9">
        <v>81</v>
      </c>
      <c r="AQ912" s="9">
        <v>90</v>
      </c>
      <c r="AR912" s="9">
        <v>0</v>
      </c>
      <c r="AS912" s="9">
        <v>8</v>
      </c>
      <c r="AT912" s="9">
        <v>0</v>
      </c>
      <c r="AU912" s="9">
        <v>0</v>
      </c>
      <c r="AV912" s="9">
        <v>31</v>
      </c>
      <c r="AW912" s="9">
        <v>31</v>
      </c>
      <c r="AX912" s="9">
        <v>34</v>
      </c>
      <c r="AY912" s="9">
        <v>32</v>
      </c>
      <c r="AZ912" s="9">
        <v>35</v>
      </c>
    </row>
    <row r="913" spans="2:52">
      <c r="B913" t="str">
        <f t="shared" si="70"/>
        <v>Aug</v>
      </c>
      <c r="C913" s="43">
        <f t="shared" si="71"/>
        <v>46236</v>
      </c>
      <c r="D913" s="44">
        <f t="shared" si="72"/>
        <v>46233</v>
      </c>
      <c r="E913" s="9" t="s">
        <v>42</v>
      </c>
      <c r="F913">
        <f t="shared" si="73"/>
        <v>0</v>
      </c>
      <c r="G913">
        <f t="shared" si="74"/>
        <v>-33</v>
      </c>
      <c r="AJ913" s="40">
        <v>46233</v>
      </c>
      <c r="AK913" s="9" t="s">
        <v>42</v>
      </c>
      <c r="AL913" s="9" t="s">
        <v>42</v>
      </c>
      <c r="AM913" s="9"/>
      <c r="AN913" s="9">
        <v>46</v>
      </c>
      <c r="AO913" s="9">
        <v>6</v>
      </c>
      <c r="AP913" s="9">
        <v>11</v>
      </c>
      <c r="AQ913" s="9">
        <v>17</v>
      </c>
      <c r="AR913" s="9">
        <v>16</v>
      </c>
      <c r="AS913" s="9">
        <v>15</v>
      </c>
      <c r="AT913" s="9">
        <v>10</v>
      </c>
      <c r="AU913" s="9">
        <v>14</v>
      </c>
      <c r="AV913" s="9">
        <v>0</v>
      </c>
      <c r="AW913" s="9">
        <v>14</v>
      </c>
      <c r="AX913" s="9">
        <v>0</v>
      </c>
      <c r="AY913" s="9">
        <v>0</v>
      </c>
      <c r="AZ913" s="9">
        <v>0</v>
      </c>
    </row>
    <row r="914" spans="2:52">
      <c r="B914" t="str">
        <f t="shared" si="70"/>
        <v>Aug</v>
      </c>
      <c r="C914" s="43">
        <f t="shared" si="71"/>
        <v>46236</v>
      </c>
      <c r="D914" s="44">
        <f t="shared" si="72"/>
        <v>46234</v>
      </c>
      <c r="E914" s="9" t="s">
        <v>31</v>
      </c>
      <c r="F914">
        <f t="shared" si="73"/>
        <v>0</v>
      </c>
      <c r="G914">
        <f t="shared" si="74"/>
        <v>-135</v>
      </c>
      <c r="AJ914" s="40">
        <v>46234</v>
      </c>
      <c r="AK914" s="9" t="s">
        <v>204</v>
      </c>
      <c r="AL914" s="9" t="s">
        <v>31</v>
      </c>
      <c r="AM914" s="9"/>
      <c r="AN914" s="9">
        <v>132</v>
      </c>
      <c r="AO914" s="9">
        <v>129</v>
      </c>
      <c r="AP914" s="9">
        <v>123</v>
      </c>
      <c r="AQ914" s="9">
        <v>179</v>
      </c>
      <c r="AR914" s="9">
        <v>171</v>
      </c>
      <c r="AS914" s="9">
        <v>192</v>
      </c>
      <c r="AT914" s="9">
        <v>192</v>
      </c>
      <c r="AU914" s="9">
        <v>191</v>
      </c>
      <c r="AV914" s="9">
        <v>176</v>
      </c>
      <c r="AW914" s="9">
        <v>0</v>
      </c>
      <c r="AX914" s="9">
        <v>18</v>
      </c>
      <c r="AY914" s="9">
        <v>30</v>
      </c>
      <c r="AZ914" s="9">
        <v>24</v>
      </c>
    </row>
    <row r="915" spans="2:52">
      <c r="B915" t="str">
        <f t="shared" si="70"/>
        <v>Aug</v>
      </c>
      <c r="C915" s="43">
        <f t="shared" si="71"/>
        <v>46236</v>
      </c>
      <c r="D915" s="44">
        <f t="shared" si="72"/>
        <v>46234</v>
      </c>
      <c r="E915" s="9" t="s">
        <v>39</v>
      </c>
      <c r="F915">
        <f t="shared" si="73"/>
        <v>0</v>
      </c>
      <c r="G915">
        <f t="shared" si="74"/>
        <v>-65</v>
      </c>
      <c r="AJ915" s="40">
        <v>46234</v>
      </c>
      <c r="AK915" s="9" t="s">
        <v>205</v>
      </c>
      <c r="AL915" s="9" t="s">
        <v>39</v>
      </c>
      <c r="AM915" s="9"/>
      <c r="AN915" s="9">
        <v>47</v>
      </c>
      <c r="AO915" s="9">
        <v>0</v>
      </c>
      <c r="AP915" s="9">
        <v>0</v>
      </c>
      <c r="AQ915" s="9">
        <v>0</v>
      </c>
      <c r="AR915" s="9">
        <v>13</v>
      </c>
      <c r="AS915" s="9">
        <v>0</v>
      </c>
      <c r="AT915" s="9">
        <v>25</v>
      </c>
      <c r="AU915" s="9">
        <v>13</v>
      </c>
      <c r="AV915" s="9">
        <v>2</v>
      </c>
      <c r="AW915" s="9">
        <v>5</v>
      </c>
      <c r="AX915" s="9">
        <v>11</v>
      </c>
      <c r="AY915" s="9">
        <v>17</v>
      </c>
      <c r="AZ915" s="9">
        <v>31</v>
      </c>
    </row>
    <row r="916" spans="2:52">
      <c r="B916" t="str">
        <f t="shared" si="70"/>
        <v>Aug</v>
      </c>
      <c r="C916" s="43">
        <f t="shared" si="71"/>
        <v>46236</v>
      </c>
      <c r="D916" s="44">
        <f t="shared" si="72"/>
        <v>46234</v>
      </c>
      <c r="E916" s="9" t="s">
        <v>40</v>
      </c>
      <c r="F916">
        <f t="shared" si="73"/>
        <v>0</v>
      </c>
      <c r="G916">
        <f t="shared" si="74"/>
        <v>-52</v>
      </c>
      <c r="AJ916" s="40">
        <v>46234</v>
      </c>
      <c r="AK916" s="9" t="s">
        <v>205</v>
      </c>
      <c r="AL916" s="9" t="s">
        <v>40</v>
      </c>
      <c r="AM916" s="9"/>
      <c r="AN916" s="9">
        <v>68</v>
      </c>
      <c r="AO916" s="9">
        <v>61</v>
      </c>
      <c r="AP916" s="9">
        <v>66</v>
      </c>
      <c r="AQ916" s="9">
        <v>56</v>
      </c>
      <c r="AR916" s="9">
        <v>0</v>
      </c>
      <c r="AS916" s="9">
        <v>11</v>
      </c>
      <c r="AT916" s="9">
        <v>3</v>
      </c>
      <c r="AU916" s="9">
        <v>0</v>
      </c>
      <c r="AV916" s="9">
        <v>1</v>
      </c>
      <c r="AW916" s="9">
        <v>0</v>
      </c>
      <c r="AX916" s="9">
        <v>25</v>
      </c>
      <c r="AY916" s="9">
        <v>0</v>
      </c>
      <c r="AZ916" s="9">
        <v>24</v>
      </c>
    </row>
    <row r="917" spans="2:52">
      <c r="B917" t="str">
        <f t="shared" si="70"/>
        <v>Aug</v>
      </c>
      <c r="C917" s="43">
        <f t="shared" si="71"/>
        <v>46236</v>
      </c>
      <c r="D917" s="44">
        <f t="shared" si="72"/>
        <v>46234</v>
      </c>
      <c r="E917" s="9" t="s">
        <v>41</v>
      </c>
      <c r="F917">
        <f t="shared" si="73"/>
        <v>0</v>
      </c>
      <c r="G917">
        <f t="shared" si="74"/>
        <v>184</v>
      </c>
      <c r="AJ917" s="40">
        <v>46234</v>
      </c>
      <c r="AK917" s="9" t="s">
        <v>41</v>
      </c>
      <c r="AL917" s="9" t="s">
        <v>41</v>
      </c>
      <c r="AM917" s="9"/>
      <c r="AN917" s="9">
        <v>13</v>
      </c>
      <c r="AO917" s="9">
        <v>18</v>
      </c>
      <c r="AP917" s="9">
        <v>39</v>
      </c>
      <c r="AQ917" s="9">
        <v>38</v>
      </c>
      <c r="AR917" s="9">
        <v>36</v>
      </c>
      <c r="AS917" s="9">
        <v>0</v>
      </c>
      <c r="AT917" s="9">
        <v>0</v>
      </c>
      <c r="AU917" s="9">
        <v>142</v>
      </c>
      <c r="AV917" s="9">
        <v>182</v>
      </c>
      <c r="AW917" s="9">
        <v>184</v>
      </c>
      <c r="AX917" s="9">
        <v>186</v>
      </c>
      <c r="AY917" s="9">
        <v>189</v>
      </c>
      <c r="AZ917" s="9">
        <v>185</v>
      </c>
    </row>
    <row r="918" spans="2:52">
      <c r="B918" t="str">
        <f t="shared" si="70"/>
        <v>Aug</v>
      </c>
      <c r="C918" s="43">
        <f t="shared" si="71"/>
        <v>46236</v>
      </c>
      <c r="D918" s="44">
        <f t="shared" si="72"/>
        <v>46234</v>
      </c>
      <c r="E918" s="9" t="s">
        <v>45</v>
      </c>
      <c r="F918">
        <f t="shared" si="73"/>
        <v>0</v>
      </c>
      <c r="G918">
        <f t="shared" si="74"/>
        <v>-6</v>
      </c>
      <c r="AJ918" s="40">
        <v>46234</v>
      </c>
      <c r="AK918" s="9" t="s">
        <v>202</v>
      </c>
      <c r="AL918" s="9" t="s">
        <v>45</v>
      </c>
      <c r="AM918" s="9"/>
      <c r="AN918" s="9">
        <v>0</v>
      </c>
      <c r="AO918" s="9">
        <v>21</v>
      </c>
      <c r="AP918" s="9">
        <v>154</v>
      </c>
      <c r="AQ918" s="9">
        <v>153</v>
      </c>
      <c r="AR918" s="9">
        <v>149</v>
      </c>
      <c r="AS918" s="9">
        <v>146</v>
      </c>
      <c r="AT918" s="9">
        <v>150</v>
      </c>
      <c r="AU918" s="9">
        <v>237</v>
      </c>
      <c r="AV918" s="9">
        <v>0</v>
      </c>
      <c r="AW918" s="9">
        <v>0</v>
      </c>
      <c r="AX918" s="9">
        <v>0</v>
      </c>
      <c r="AY918" s="9">
        <v>0</v>
      </c>
      <c r="AZ918" s="9">
        <v>3</v>
      </c>
    </row>
    <row r="919" spans="2:52">
      <c r="B919" t="str">
        <f t="shared" si="70"/>
        <v>Aug</v>
      </c>
      <c r="C919" s="43">
        <f t="shared" si="71"/>
        <v>46236</v>
      </c>
      <c r="D919" s="44">
        <f t="shared" si="72"/>
        <v>46234</v>
      </c>
      <c r="E919" s="9" t="s">
        <v>46</v>
      </c>
      <c r="F919">
        <f t="shared" si="73"/>
        <v>0</v>
      </c>
      <c r="G919">
        <f t="shared" si="74"/>
        <v>-14</v>
      </c>
      <c r="AJ919" s="40">
        <v>46234</v>
      </c>
      <c r="AK919" s="9" t="s">
        <v>202</v>
      </c>
      <c r="AL919" s="9" t="s">
        <v>46</v>
      </c>
      <c r="AM919" s="9"/>
      <c r="AN919" s="9">
        <v>0</v>
      </c>
      <c r="AO919" s="9">
        <v>6</v>
      </c>
      <c r="AP919" s="9">
        <v>3</v>
      </c>
      <c r="AQ919" s="9">
        <v>6</v>
      </c>
      <c r="AR919" s="9">
        <v>6</v>
      </c>
      <c r="AS919" s="9">
        <v>7</v>
      </c>
      <c r="AT919" s="9">
        <v>0</v>
      </c>
      <c r="AU919" s="9">
        <v>0</v>
      </c>
      <c r="AV919" s="9">
        <v>5</v>
      </c>
      <c r="AW919" s="9">
        <v>8</v>
      </c>
      <c r="AX919" s="9">
        <v>13</v>
      </c>
      <c r="AY919" s="9">
        <v>34</v>
      </c>
      <c r="AZ919" s="9">
        <v>38</v>
      </c>
    </row>
    <row r="920" spans="2:52">
      <c r="B920" t="str">
        <f t="shared" si="70"/>
        <v>Aug</v>
      </c>
      <c r="C920" s="43">
        <f t="shared" si="71"/>
        <v>46236</v>
      </c>
      <c r="D920" s="44">
        <f t="shared" si="72"/>
        <v>46234</v>
      </c>
      <c r="E920" s="9" t="s">
        <v>47</v>
      </c>
      <c r="F920">
        <f t="shared" si="73"/>
        <v>0</v>
      </c>
      <c r="G920">
        <f t="shared" si="74"/>
        <v>-12</v>
      </c>
      <c r="AJ920" s="40">
        <v>46234</v>
      </c>
      <c r="AK920" s="9" t="s">
        <v>202</v>
      </c>
      <c r="AL920" s="9" t="s">
        <v>47</v>
      </c>
      <c r="AM920" s="9"/>
      <c r="AN920" s="9">
        <v>7</v>
      </c>
      <c r="AO920" s="9">
        <v>73</v>
      </c>
      <c r="AP920" s="9">
        <v>0</v>
      </c>
      <c r="AQ920" s="9">
        <v>14</v>
      </c>
      <c r="AR920" s="9">
        <v>10</v>
      </c>
      <c r="AS920" s="9">
        <v>66</v>
      </c>
      <c r="AT920" s="9">
        <v>67</v>
      </c>
      <c r="AU920" s="9">
        <v>38</v>
      </c>
      <c r="AV920" s="9">
        <v>36</v>
      </c>
      <c r="AW920" s="9">
        <v>32</v>
      </c>
      <c r="AX920" s="9">
        <v>0</v>
      </c>
      <c r="AY920" s="9">
        <v>11</v>
      </c>
      <c r="AZ920" s="9">
        <v>0</v>
      </c>
    </row>
    <row r="921" spans="2:52">
      <c r="B921" t="str">
        <f t="shared" si="70"/>
        <v>Aug</v>
      </c>
      <c r="C921" s="43">
        <f t="shared" si="71"/>
        <v>46236</v>
      </c>
      <c r="D921" s="44">
        <f t="shared" si="72"/>
        <v>46234</v>
      </c>
      <c r="E921" s="9" t="s">
        <v>206</v>
      </c>
      <c r="F921">
        <f t="shared" si="73"/>
        <v>0</v>
      </c>
      <c r="G921">
        <f t="shared" si="74"/>
        <v>-40</v>
      </c>
      <c r="AJ921" s="40">
        <v>46234</v>
      </c>
      <c r="AK921" s="9" t="s">
        <v>43</v>
      </c>
      <c r="AL921" s="9" t="s">
        <v>206</v>
      </c>
      <c r="AM921" s="9"/>
      <c r="AN921" s="9">
        <v>56</v>
      </c>
      <c r="AO921" s="9">
        <v>62</v>
      </c>
      <c r="AP921" s="9">
        <v>65</v>
      </c>
      <c r="AQ921" s="9">
        <v>63</v>
      </c>
      <c r="AR921" s="9">
        <v>62</v>
      </c>
      <c r="AS921" s="9">
        <v>69</v>
      </c>
      <c r="AT921" s="9">
        <v>0</v>
      </c>
      <c r="AU921" s="9">
        <v>0</v>
      </c>
      <c r="AV921" s="9">
        <v>4</v>
      </c>
      <c r="AW921" s="9">
        <v>13</v>
      </c>
      <c r="AX921" s="9">
        <v>6</v>
      </c>
      <c r="AY921" s="9">
        <v>0</v>
      </c>
      <c r="AZ921" s="9">
        <v>20</v>
      </c>
    </row>
    <row r="922" spans="2:52">
      <c r="B922" t="str">
        <f t="shared" si="70"/>
        <v>Aug</v>
      </c>
      <c r="C922" s="43">
        <f t="shared" si="71"/>
        <v>46236</v>
      </c>
      <c r="D922" s="44">
        <f t="shared" si="72"/>
        <v>46234</v>
      </c>
      <c r="E922" s="9" t="s">
        <v>207</v>
      </c>
      <c r="F922">
        <f t="shared" si="73"/>
        <v>0</v>
      </c>
      <c r="G922">
        <f t="shared" si="74"/>
        <v>0</v>
      </c>
      <c r="AJ922" s="40">
        <v>46234</v>
      </c>
      <c r="AK922" s="9" t="s">
        <v>203</v>
      </c>
      <c r="AL922" s="9" t="s">
        <v>207</v>
      </c>
      <c r="AM922" s="9"/>
      <c r="AN922" s="9">
        <v>29</v>
      </c>
      <c r="AO922" s="9">
        <v>27</v>
      </c>
      <c r="AP922" s="9">
        <v>39</v>
      </c>
      <c r="AQ922" s="9">
        <v>0</v>
      </c>
      <c r="AR922" s="9">
        <v>48</v>
      </c>
      <c r="AS922" s="9">
        <v>7</v>
      </c>
      <c r="AT922" s="9">
        <v>2</v>
      </c>
      <c r="AU922" s="9">
        <v>9</v>
      </c>
      <c r="AV922" s="9">
        <v>5</v>
      </c>
      <c r="AW922" s="9">
        <v>5</v>
      </c>
      <c r="AX922" s="9">
        <v>11</v>
      </c>
      <c r="AY922" s="9">
        <v>9</v>
      </c>
      <c r="AZ922" s="9">
        <v>35</v>
      </c>
    </row>
    <row r="923" spans="2:52">
      <c r="B923" t="str">
        <f t="shared" si="70"/>
        <v>Aug</v>
      </c>
      <c r="C923" s="43">
        <f t="shared" si="71"/>
        <v>46236</v>
      </c>
      <c r="D923" s="44">
        <f t="shared" si="72"/>
        <v>46234</v>
      </c>
      <c r="E923" s="9" t="s">
        <v>42</v>
      </c>
      <c r="F923">
        <f t="shared" si="73"/>
        <v>0</v>
      </c>
      <c r="G923">
        <f t="shared" si="74"/>
        <v>52</v>
      </c>
      <c r="AJ923" s="40">
        <v>46234</v>
      </c>
      <c r="AK923" s="9" t="s">
        <v>42</v>
      </c>
      <c r="AL923" s="9" t="s">
        <v>42</v>
      </c>
      <c r="AM923" s="9"/>
      <c r="AN923" s="9">
        <v>68</v>
      </c>
      <c r="AO923" s="9">
        <v>67</v>
      </c>
      <c r="AP923" s="9">
        <v>70</v>
      </c>
      <c r="AQ923" s="9">
        <v>68</v>
      </c>
      <c r="AR923" s="9">
        <v>62</v>
      </c>
      <c r="AS923" s="9">
        <v>57</v>
      </c>
      <c r="AT923" s="9">
        <v>0</v>
      </c>
      <c r="AU923" s="9">
        <v>17</v>
      </c>
      <c r="AV923" s="9">
        <v>18</v>
      </c>
      <c r="AW923" s="9">
        <v>61</v>
      </c>
      <c r="AX923" s="9">
        <v>59</v>
      </c>
      <c r="AY923" s="9">
        <v>55</v>
      </c>
      <c r="AZ923" s="9">
        <v>52</v>
      </c>
    </row>
    <row r="924" spans="2:52">
      <c r="B924" t="str">
        <f t="shared" si="70"/>
        <v>Aug</v>
      </c>
      <c r="C924" s="43">
        <f t="shared" si="71"/>
        <v>46236</v>
      </c>
      <c r="D924" s="44">
        <f t="shared" si="72"/>
        <v>46235</v>
      </c>
      <c r="E924" s="9" t="s">
        <v>31</v>
      </c>
      <c r="F924">
        <f t="shared" si="73"/>
        <v>0</v>
      </c>
      <c r="G924">
        <f t="shared" si="74"/>
        <v>-19</v>
      </c>
      <c r="AJ924" s="40">
        <v>46235</v>
      </c>
      <c r="AK924" s="9" t="s">
        <v>204</v>
      </c>
      <c r="AL924" s="9" t="s">
        <v>31</v>
      </c>
      <c r="AM924" s="9"/>
      <c r="AN924" s="9">
        <v>128</v>
      </c>
      <c r="AO924" s="9">
        <v>139</v>
      </c>
      <c r="AP924" s="9">
        <v>158</v>
      </c>
      <c r="AQ924" s="9">
        <v>148</v>
      </c>
      <c r="AR924" s="9">
        <v>158</v>
      </c>
      <c r="AS924" s="9">
        <v>164</v>
      </c>
      <c r="AT924" s="9">
        <v>171</v>
      </c>
      <c r="AU924" s="9">
        <v>190</v>
      </c>
      <c r="AV924" s="9">
        <v>0</v>
      </c>
      <c r="AW924" s="9">
        <v>24</v>
      </c>
      <c r="AX924" s="9">
        <v>13</v>
      </c>
      <c r="AY924" s="9">
        <v>0</v>
      </c>
      <c r="AZ924" s="9">
        <v>5</v>
      </c>
    </row>
    <row r="925" spans="2:52">
      <c r="B925" t="str">
        <f t="shared" si="70"/>
        <v>Aug</v>
      </c>
      <c r="C925" s="43">
        <f t="shared" si="71"/>
        <v>46236</v>
      </c>
      <c r="D925" s="44">
        <f t="shared" si="72"/>
        <v>46235</v>
      </c>
      <c r="E925" s="9" t="s">
        <v>39</v>
      </c>
      <c r="F925">
        <f t="shared" si="73"/>
        <v>0</v>
      </c>
      <c r="G925">
        <f t="shared" si="74"/>
        <v>-15</v>
      </c>
      <c r="AJ925" s="40">
        <v>46235</v>
      </c>
      <c r="AK925" s="9" t="s">
        <v>205</v>
      </c>
      <c r="AL925" s="9" t="s">
        <v>39</v>
      </c>
      <c r="AM925" s="9"/>
      <c r="AN925" s="9">
        <v>123</v>
      </c>
      <c r="AO925" s="9">
        <v>119</v>
      </c>
      <c r="AP925" s="9">
        <v>136</v>
      </c>
      <c r="AQ925" s="9">
        <v>151</v>
      </c>
      <c r="AR925" s="9">
        <v>160</v>
      </c>
      <c r="AS925" s="9">
        <v>0</v>
      </c>
      <c r="AT925" s="9">
        <v>0</v>
      </c>
      <c r="AU925" s="9">
        <v>27</v>
      </c>
      <c r="AV925" s="9">
        <v>51</v>
      </c>
      <c r="AW925" s="9">
        <v>52</v>
      </c>
      <c r="AX925" s="9">
        <v>0</v>
      </c>
      <c r="AY925" s="9">
        <v>14</v>
      </c>
      <c r="AZ925" s="9">
        <v>16</v>
      </c>
    </row>
    <row r="926" spans="2:52">
      <c r="B926" t="str">
        <f t="shared" si="70"/>
        <v>Aug</v>
      </c>
      <c r="C926" s="43">
        <f t="shared" si="71"/>
        <v>46236</v>
      </c>
      <c r="D926" s="44">
        <f t="shared" si="72"/>
        <v>46235</v>
      </c>
      <c r="E926" s="9" t="s">
        <v>40</v>
      </c>
      <c r="F926">
        <f t="shared" si="73"/>
        <v>0</v>
      </c>
      <c r="G926">
        <f t="shared" si="74"/>
        <v>-24</v>
      </c>
      <c r="AJ926" s="40">
        <v>46235</v>
      </c>
      <c r="AK926" s="9" t="s">
        <v>205</v>
      </c>
      <c r="AL926" s="9" t="s">
        <v>40</v>
      </c>
      <c r="AM926" s="9"/>
      <c r="AN926" s="9">
        <v>79</v>
      </c>
      <c r="AO926" s="9">
        <v>72</v>
      </c>
      <c r="AP926" s="9">
        <v>80</v>
      </c>
      <c r="AQ926" s="9">
        <v>79</v>
      </c>
      <c r="AR926" s="9">
        <v>72</v>
      </c>
      <c r="AS926" s="9">
        <v>32</v>
      </c>
      <c r="AT926" s="9">
        <v>0</v>
      </c>
      <c r="AU926" s="9">
        <v>3</v>
      </c>
      <c r="AV926" s="9">
        <v>15</v>
      </c>
      <c r="AW926" s="9">
        <v>6</v>
      </c>
      <c r="AX926" s="9">
        <v>13</v>
      </c>
      <c r="AY926" s="9">
        <v>4</v>
      </c>
      <c r="AZ926" s="9">
        <v>0</v>
      </c>
    </row>
    <row r="927" spans="2:52">
      <c r="B927" t="str">
        <f t="shared" si="70"/>
        <v>Aug</v>
      </c>
      <c r="C927" s="43">
        <f t="shared" si="71"/>
        <v>46236</v>
      </c>
      <c r="D927" s="44">
        <f t="shared" si="72"/>
        <v>46235</v>
      </c>
      <c r="E927" s="9" t="s">
        <v>41</v>
      </c>
      <c r="F927">
        <f t="shared" si="73"/>
        <v>0</v>
      </c>
      <c r="G927">
        <f t="shared" si="74"/>
        <v>6</v>
      </c>
      <c r="AJ927" s="40">
        <v>46235</v>
      </c>
      <c r="AK927" s="9" t="s">
        <v>41</v>
      </c>
      <c r="AL927" s="9" t="s">
        <v>41</v>
      </c>
      <c r="AM927" s="9"/>
      <c r="AN927" s="9">
        <v>21</v>
      </c>
      <c r="AO927" s="9">
        <v>18</v>
      </c>
      <c r="AP927" s="9">
        <v>22</v>
      </c>
      <c r="AQ927" s="9">
        <v>18</v>
      </c>
      <c r="AR927" s="9">
        <v>15</v>
      </c>
      <c r="AS927" s="9">
        <v>13</v>
      </c>
      <c r="AT927" s="9">
        <v>13</v>
      </c>
      <c r="AU927" s="9">
        <v>15</v>
      </c>
      <c r="AV927" s="9">
        <v>133</v>
      </c>
      <c r="AW927" s="9">
        <v>133</v>
      </c>
      <c r="AX927" s="9">
        <v>135</v>
      </c>
      <c r="AY927" s="9">
        <v>191</v>
      </c>
      <c r="AZ927" s="9">
        <v>191</v>
      </c>
    </row>
    <row r="928" spans="2:52">
      <c r="B928" t="str">
        <f t="shared" si="70"/>
        <v>Aug</v>
      </c>
      <c r="C928" s="43">
        <f t="shared" si="71"/>
        <v>46236</v>
      </c>
      <c r="D928" s="44">
        <f t="shared" si="72"/>
        <v>46235</v>
      </c>
      <c r="E928" s="9" t="s">
        <v>45</v>
      </c>
      <c r="F928">
        <f t="shared" si="73"/>
        <v>0</v>
      </c>
      <c r="G928">
        <f t="shared" si="74"/>
        <v>190</v>
      </c>
      <c r="AJ928" s="40">
        <v>46235</v>
      </c>
      <c r="AK928" s="9" t="s">
        <v>202</v>
      </c>
      <c r="AL928" s="9" t="s">
        <v>45</v>
      </c>
      <c r="AM928" s="9"/>
      <c r="AN928" s="9">
        <v>0</v>
      </c>
      <c r="AO928" s="9">
        <v>26</v>
      </c>
      <c r="AP928" s="9">
        <v>32</v>
      </c>
      <c r="AQ928" s="9">
        <v>33</v>
      </c>
      <c r="AR928" s="9">
        <v>31</v>
      </c>
      <c r="AS928" s="9">
        <v>38</v>
      </c>
      <c r="AT928" s="9">
        <v>184</v>
      </c>
      <c r="AU928" s="9">
        <v>186</v>
      </c>
      <c r="AV928" s="9">
        <v>188</v>
      </c>
      <c r="AW928" s="9">
        <v>193</v>
      </c>
      <c r="AX928" s="9">
        <v>192</v>
      </c>
      <c r="AY928" s="9">
        <v>192</v>
      </c>
      <c r="AZ928" s="9">
        <v>193</v>
      </c>
    </row>
    <row r="929" spans="2:52">
      <c r="B929" t="str">
        <f t="shared" si="70"/>
        <v>Aug</v>
      </c>
      <c r="C929" s="43">
        <f t="shared" si="71"/>
        <v>46236</v>
      </c>
      <c r="D929" s="44">
        <f t="shared" si="72"/>
        <v>46235</v>
      </c>
      <c r="E929" s="9" t="s">
        <v>46</v>
      </c>
      <c r="F929">
        <f t="shared" si="73"/>
        <v>0</v>
      </c>
      <c r="G929">
        <f t="shared" si="74"/>
        <v>-38</v>
      </c>
      <c r="AJ929" s="40">
        <v>46235</v>
      </c>
      <c r="AK929" s="9" t="s">
        <v>202</v>
      </c>
      <c r="AL929" s="9" t="s">
        <v>46</v>
      </c>
      <c r="AM929" s="9"/>
      <c r="AN929" s="9">
        <v>43</v>
      </c>
      <c r="AO929" s="9">
        <v>43</v>
      </c>
      <c r="AP929" s="9">
        <v>0</v>
      </c>
      <c r="AQ929" s="9">
        <v>6</v>
      </c>
      <c r="AR929" s="9">
        <v>5</v>
      </c>
      <c r="AS929" s="9">
        <v>3</v>
      </c>
      <c r="AT929" s="9">
        <v>4</v>
      </c>
      <c r="AU929" s="9">
        <v>9</v>
      </c>
      <c r="AV929" s="9">
        <v>7</v>
      </c>
      <c r="AW929" s="9">
        <v>57</v>
      </c>
      <c r="AX929" s="9">
        <v>59</v>
      </c>
      <c r="AY929" s="9">
        <v>56</v>
      </c>
      <c r="AZ929" s="9">
        <v>0</v>
      </c>
    </row>
    <row r="930" spans="2:52">
      <c r="B930" t="str">
        <f t="shared" si="70"/>
        <v>Aug</v>
      </c>
      <c r="C930" s="43">
        <f t="shared" si="71"/>
        <v>46236</v>
      </c>
      <c r="D930" s="44">
        <f t="shared" si="72"/>
        <v>46235</v>
      </c>
      <c r="E930" s="9" t="s">
        <v>47</v>
      </c>
      <c r="F930">
        <f t="shared" si="73"/>
        <v>0</v>
      </c>
      <c r="G930">
        <f t="shared" si="74"/>
        <v>3</v>
      </c>
      <c r="AJ930" s="40">
        <v>46235</v>
      </c>
      <c r="AK930" s="9" t="s">
        <v>202</v>
      </c>
      <c r="AL930" s="9" t="s">
        <v>47</v>
      </c>
      <c r="AM930" s="9"/>
      <c r="AN930" s="9">
        <v>24</v>
      </c>
      <c r="AO930" s="9">
        <v>22</v>
      </c>
      <c r="AP930" s="9">
        <v>25</v>
      </c>
      <c r="AQ930" s="9">
        <v>64</v>
      </c>
      <c r="AR930" s="9">
        <v>68</v>
      </c>
      <c r="AS930" s="9">
        <v>71</v>
      </c>
      <c r="AT930" s="9">
        <v>0</v>
      </c>
      <c r="AU930" s="9">
        <v>10</v>
      </c>
      <c r="AV930" s="9">
        <v>0</v>
      </c>
      <c r="AW930" s="9">
        <v>1</v>
      </c>
      <c r="AX930" s="9">
        <v>3</v>
      </c>
      <c r="AY930" s="9">
        <v>0</v>
      </c>
      <c r="AZ930" s="9">
        <v>3</v>
      </c>
    </row>
    <row r="931" spans="2:52">
      <c r="B931" t="str">
        <f t="shared" si="70"/>
        <v>Aug</v>
      </c>
      <c r="C931" s="43">
        <f t="shared" si="71"/>
        <v>46236</v>
      </c>
      <c r="D931" s="44">
        <f t="shared" si="72"/>
        <v>46235</v>
      </c>
      <c r="E931" s="9" t="s">
        <v>206</v>
      </c>
      <c r="F931">
        <f t="shared" si="73"/>
        <v>0</v>
      </c>
      <c r="G931">
        <f t="shared" si="74"/>
        <v>85</v>
      </c>
      <c r="AJ931" s="40">
        <v>46235</v>
      </c>
      <c r="AK931" s="9" t="s">
        <v>43</v>
      </c>
      <c r="AL931" s="9" t="s">
        <v>206</v>
      </c>
      <c r="AM931" s="9"/>
      <c r="AN931" s="9">
        <v>41</v>
      </c>
      <c r="AO931" s="9">
        <v>42</v>
      </c>
      <c r="AP931" s="9">
        <v>49</v>
      </c>
      <c r="AQ931" s="9">
        <v>55</v>
      </c>
      <c r="AR931" s="9">
        <v>63</v>
      </c>
      <c r="AS931" s="9">
        <v>0</v>
      </c>
      <c r="AT931" s="9">
        <v>14</v>
      </c>
      <c r="AU931" s="9">
        <v>8</v>
      </c>
      <c r="AV931" s="9">
        <v>7</v>
      </c>
      <c r="AW931" s="9">
        <v>8</v>
      </c>
      <c r="AX931" s="9">
        <v>8</v>
      </c>
      <c r="AY931" s="9">
        <v>75</v>
      </c>
      <c r="AZ931" s="9">
        <v>105</v>
      </c>
    </row>
    <row r="932" spans="2:52">
      <c r="B932" t="str">
        <f t="shared" si="70"/>
        <v>Aug</v>
      </c>
      <c r="C932" s="43">
        <f t="shared" si="71"/>
        <v>46236</v>
      </c>
      <c r="D932" s="44">
        <f t="shared" si="72"/>
        <v>46235</v>
      </c>
      <c r="E932" s="9" t="s">
        <v>207</v>
      </c>
      <c r="F932">
        <f t="shared" si="73"/>
        <v>0</v>
      </c>
      <c r="G932">
        <f t="shared" si="74"/>
        <v>-35</v>
      </c>
      <c r="AJ932" s="40">
        <v>46235</v>
      </c>
      <c r="AK932" s="9" t="s">
        <v>203</v>
      </c>
      <c r="AL932" s="9" t="s">
        <v>207</v>
      </c>
      <c r="AM932" s="9"/>
      <c r="AN932" s="9">
        <v>0</v>
      </c>
      <c r="AO932" s="9">
        <v>24</v>
      </c>
      <c r="AP932" s="9">
        <v>18</v>
      </c>
      <c r="AQ932" s="9">
        <v>25</v>
      </c>
      <c r="AR932" s="9">
        <v>33</v>
      </c>
      <c r="AS932" s="9">
        <v>36</v>
      </c>
      <c r="AT932" s="9">
        <v>44</v>
      </c>
      <c r="AU932" s="9">
        <v>135</v>
      </c>
      <c r="AV932" s="9">
        <v>144</v>
      </c>
      <c r="AW932" s="9">
        <v>112</v>
      </c>
      <c r="AX932" s="9">
        <v>117</v>
      </c>
      <c r="AY932" s="9">
        <v>122</v>
      </c>
      <c r="AZ932" s="9">
        <v>0</v>
      </c>
    </row>
    <row r="933" spans="2:52">
      <c r="B933" t="str">
        <f t="shared" si="70"/>
        <v>Aug</v>
      </c>
      <c r="C933" s="43">
        <f t="shared" si="71"/>
        <v>46236</v>
      </c>
      <c r="D933" s="44">
        <f t="shared" si="72"/>
        <v>46235</v>
      </c>
      <c r="E933" s="9" t="s">
        <v>42</v>
      </c>
      <c r="F933">
        <f t="shared" si="73"/>
        <v>0</v>
      </c>
      <c r="G933">
        <f t="shared" si="74"/>
        <v>44</v>
      </c>
      <c r="AJ933" s="40">
        <v>46235</v>
      </c>
      <c r="AK933" s="9" t="s">
        <v>42</v>
      </c>
      <c r="AL933" s="9" t="s">
        <v>42</v>
      </c>
      <c r="AM933" s="9"/>
      <c r="AN933" s="9">
        <v>16</v>
      </c>
      <c r="AO933" s="9">
        <v>10</v>
      </c>
      <c r="AP933" s="9">
        <v>4</v>
      </c>
      <c r="AQ933" s="9">
        <v>0</v>
      </c>
      <c r="AR933" s="9">
        <v>2</v>
      </c>
      <c r="AS933" s="9">
        <v>2</v>
      </c>
      <c r="AT933" s="9">
        <v>6</v>
      </c>
      <c r="AU933" s="9">
        <v>10</v>
      </c>
      <c r="AV933" s="9">
        <v>10</v>
      </c>
      <c r="AW933" s="9">
        <v>13</v>
      </c>
      <c r="AX933" s="9">
        <v>0</v>
      </c>
      <c r="AY933" s="9">
        <v>0</v>
      </c>
      <c r="AZ933" s="9">
        <v>96</v>
      </c>
    </row>
    <row r="934" spans="2:52">
      <c r="B934" t="str">
        <f t="shared" si="70"/>
        <v>Aug</v>
      </c>
      <c r="C934" s="43">
        <f t="shared" si="71"/>
        <v>46243</v>
      </c>
      <c r="D934" s="44">
        <f t="shared" si="72"/>
        <v>46236</v>
      </c>
      <c r="E934" s="9" t="s">
        <v>31</v>
      </c>
      <c r="F934">
        <f t="shared" si="73"/>
        <v>0</v>
      </c>
      <c r="G934">
        <f t="shared" si="74"/>
        <v>235</v>
      </c>
      <c r="AJ934" s="40">
        <v>46236</v>
      </c>
      <c r="AK934" s="9" t="s">
        <v>204</v>
      </c>
      <c r="AL934" s="9" t="s">
        <v>31</v>
      </c>
      <c r="AM934" s="9"/>
      <c r="AN934" s="9">
        <v>188</v>
      </c>
      <c r="AO934" s="9">
        <v>224</v>
      </c>
      <c r="AP934" s="9">
        <v>208</v>
      </c>
      <c r="AQ934" s="9">
        <v>237</v>
      </c>
      <c r="AR934" s="9">
        <v>240</v>
      </c>
      <c r="AS934" s="9">
        <v>239</v>
      </c>
      <c r="AT934" s="9">
        <v>240</v>
      </c>
      <c r="AU934" s="9">
        <v>240</v>
      </c>
      <c r="AV934" s="9">
        <v>229</v>
      </c>
      <c r="AW934" s="9">
        <v>213</v>
      </c>
      <c r="AX934" s="9">
        <v>240</v>
      </c>
      <c r="AY934" s="9">
        <v>230</v>
      </c>
      <c r="AZ934" s="9">
        <v>240</v>
      </c>
    </row>
    <row r="935" spans="2:52">
      <c r="B935" t="str">
        <f t="shared" si="70"/>
        <v>Aug</v>
      </c>
      <c r="C935" s="43">
        <f t="shared" si="71"/>
        <v>46243</v>
      </c>
      <c r="D935" s="44">
        <f t="shared" si="72"/>
        <v>46236</v>
      </c>
      <c r="E935" s="9" t="s">
        <v>39</v>
      </c>
      <c r="F935">
        <f t="shared" si="73"/>
        <v>0</v>
      </c>
      <c r="G935">
        <f t="shared" si="74"/>
        <v>22</v>
      </c>
      <c r="AJ935" s="40">
        <v>46236</v>
      </c>
      <c r="AK935" s="9" t="s">
        <v>205</v>
      </c>
      <c r="AL935" s="9" t="s">
        <v>39</v>
      </c>
      <c r="AM935" s="9"/>
      <c r="AN935" s="9">
        <v>99</v>
      </c>
      <c r="AO935" s="9">
        <v>110</v>
      </c>
      <c r="AP935" s="9">
        <v>107</v>
      </c>
      <c r="AQ935" s="9">
        <v>73</v>
      </c>
      <c r="AR935" s="9">
        <v>80</v>
      </c>
      <c r="AS935" s="9">
        <v>72</v>
      </c>
      <c r="AT935" s="9">
        <v>109</v>
      </c>
      <c r="AU935" s="9">
        <v>110</v>
      </c>
      <c r="AV935" s="9">
        <v>116</v>
      </c>
      <c r="AW935" s="9">
        <v>105</v>
      </c>
      <c r="AX935" s="9">
        <v>103</v>
      </c>
      <c r="AY935" s="9">
        <v>93</v>
      </c>
      <c r="AZ935" s="9">
        <v>38</v>
      </c>
    </row>
    <row r="936" spans="2:52">
      <c r="B936" t="str">
        <f t="shared" si="70"/>
        <v>Aug</v>
      </c>
      <c r="C936" s="43">
        <f t="shared" si="71"/>
        <v>46243</v>
      </c>
      <c r="D936" s="44">
        <f t="shared" si="72"/>
        <v>46236</v>
      </c>
      <c r="E936" s="9" t="s">
        <v>40</v>
      </c>
      <c r="F936">
        <f t="shared" si="73"/>
        <v>0</v>
      </c>
      <c r="G936">
        <f t="shared" si="74"/>
        <v>107</v>
      </c>
      <c r="AJ936" s="40">
        <v>46236</v>
      </c>
      <c r="AK936" s="9" t="s">
        <v>205</v>
      </c>
      <c r="AL936" s="9" t="s">
        <v>40</v>
      </c>
      <c r="AM936" s="9"/>
      <c r="AN936" s="9">
        <v>51</v>
      </c>
      <c r="AO936" s="9">
        <v>87</v>
      </c>
      <c r="AP936" s="9">
        <v>96</v>
      </c>
      <c r="AQ936" s="9">
        <v>104</v>
      </c>
      <c r="AR936" s="9">
        <v>102</v>
      </c>
      <c r="AS936" s="9">
        <v>105</v>
      </c>
      <c r="AT936" s="9">
        <v>112</v>
      </c>
      <c r="AU936" s="9">
        <v>113</v>
      </c>
      <c r="AV936" s="9">
        <v>123</v>
      </c>
      <c r="AW936" s="9">
        <v>128</v>
      </c>
      <c r="AX936" s="9">
        <v>118</v>
      </c>
      <c r="AY936" s="9">
        <v>112</v>
      </c>
      <c r="AZ936" s="9">
        <v>107</v>
      </c>
    </row>
    <row r="937" spans="2:52">
      <c r="B937" t="str">
        <f t="shared" si="70"/>
        <v>Aug</v>
      </c>
      <c r="C937" s="43">
        <f t="shared" si="71"/>
        <v>46243</v>
      </c>
      <c r="D937" s="44">
        <f t="shared" si="72"/>
        <v>46236</v>
      </c>
      <c r="E937" s="9" t="s">
        <v>41</v>
      </c>
      <c r="F937">
        <f t="shared" si="73"/>
        <v>0</v>
      </c>
      <c r="G937">
        <f t="shared" si="74"/>
        <v>-57</v>
      </c>
      <c r="AJ937" s="40">
        <v>46236</v>
      </c>
      <c r="AK937" s="9" t="s">
        <v>41</v>
      </c>
      <c r="AL937" s="9" t="s">
        <v>41</v>
      </c>
      <c r="AM937" s="9"/>
      <c r="AN937" s="9">
        <v>36</v>
      </c>
      <c r="AO937" s="9">
        <v>38</v>
      </c>
      <c r="AP937" s="9">
        <v>38</v>
      </c>
      <c r="AQ937" s="9">
        <v>41</v>
      </c>
      <c r="AR937" s="9">
        <v>60</v>
      </c>
      <c r="AS937" s="9">
        <v>61</v>
      </c>
      <c r="AT937" s="9">
        <v>24</v>
      </c>
      <c r="AU937" s="9">
        <v>27</v>
      </c>
      <c r="AV937" s="9">
        <v>32</v>
      </c>
      <c r="AW937" s="9">
        <v>35</v>
      </c>
      <c r="AX937" s="9">
        <v>40</v>
      </c>
      <c r="AY937" s="9">
        <v>39</v>
      </c>
      <c r="AZ937" s="9">
        <v>134</v>
      </c>
    </row>
    <row r="938" spans="2:52">
      <c r="B938" t="str">
        <f t="shared" si="70"/>
        <v>Aug</v>
      </c>
      <c r="C938" s="43">
        <f t="shared" si="71"/>
        <v>46243</v>
      </c>
      <c r="D938" s="44">
        <f t="shared" si="72"/>
        <v>46236</v>
      </c>
      <c r="E938" s="9" t="s">
        <v>45</v>
      </c>
      <c r="F938">
        <f t="shared" si="73"/>
        <v>0</v>
      </c>
      <c r="G938">
        <f t="shared" si="74"/>
        <v>-17</v>
      </c>
      <c r="AJ938" s="40">
        <v>46236</v>
      </c>
      <c r="AK938" s="9" t="s">
        <v>202</v>
      </c>
      <c r="AL938" s="9" t="s">
        <v>45</v>
      </c>
      <c r="AM938" s="9"/>
      <c r="AN938" s="9">
        <v>30</v>
      </c>
      <c r="AO938" s="9">
        <v>88</v>
      </c>
      <c r="AP938" s="9">
        <v>122</v>
      </c>
      <c r="AQ938" s="9">
        <v>80</v>
      </c>
      <c r="AR938" s="9">
        <v>100</v>
      </c>
      <c r="AS938" s="9">
        <v>106</v>
      </c>
      <c r="AT938" s="9">
        <v>170</v>
      </c>
      <c r="AU938" s="9">
        <v>165</v>
      </c>
      <c r="AV938" s="9">
        <v>171</v>
      </c>
      <c r="AW938" s="9">
        <v>176</v>
      </c>
      <c r="AX938" s="9">
        <v>177</v>
      </c>
      <c r="AY938" s="9">
        <v>171</v>
      </c>
      <c r="AZ938" s="9">
        <v>176</v>
      </c>
    </row>
    <row r="939" spans="2:52">
      <c r="B939" t="str">
        <f t="shared" si="70"/>
        <v>Aug</v>
      </c>
      <c r="C939" s="43">
        <f t="shared" si="71"/>
        <v>46243</v>
      </c>
      <c r="D939" s="44">
        <f t="shared" si="72"/>
        <v>46236</v>
      </c>
      <c r="E939" s="9" t="s">
        <v>46</v>
      </c>
      <c r="F939">
        <f t="shared" si="73"/>
        <v>0</v>
      </c>
      <c r="G939">
        <f t="shared" si="74"/>
        <v>5</v>
      </c>
      <c r="AJ939" s="40">
        <v>46236</v>
      </c>
      <c r="AK939" s="9" t="s">
        <v>202</v>
      </c>
      <c r="AL939" s="9" t="s">
        <v>46</v>
      </c>
      <c r="AM939" s="9"/>
      <c r="AN939" s="9">
        <v>72</v>
      </c>
      <c r="AO939" s="9">
        <v>57</v>
      </c>
      <c r="AP939" s="9">
        <v>54</v>
      </c>
      <c r="AQ939" s="9">
        <v>54</v>
      </c>
      <c r="AR939" s="9">
        <v>54</v>
      </c>
      <c r="AS939" s="9">
        <v>58</v>
      </c>
      <c r="AT939" s="9">
        <v>61</v>
      </c>
      <c r="AU939" s="9">
        <v>48</v>
      </c>
      <c r="AV939" s="9">
        <v>46</v>
      </c>
      <c r="AW939" s="9">
        <v>44</v>
      </c>
      <c r="AX939" s="9">
        <v>0</v>
      </c>
      <c r="AY939" s="9">
        <v>0</v>
      </c>
      <c r="AZ939" s="9">
        <v>5</v>
      </c>
    </row>
    <row r="940" spans="2:52">
      <c r="B940" t="str">
        <f t="shared" si="70"/>
        <v>Aug</v>
      </c>
      <c r="C940" s="43">
        <f t="shared" si="71"/>
        <v>46243</v>
      </c>
      <c r="D940" s="44">
        <f t="shared" si="72"/>
        <v>46236</v>
      </c>
      <c r="E940" s="9" t="s">
        <v>47</v>
      </c>
      <c r="F940">
        <f t="shared" si="73"/>
        <v>0</v>
      </c>
      <c r="G940">
        <f t="shared" si="74"/>
        <v>-3</v>
      </c>
      <c r="AJ940" s="40">
        <v>46236</v>
      </c>
      <c r="AK940" s="9" t="s">
        <v>202</v>
      </c>
      <c r="AL940" s="9" t="s">
        <v>47</v>
      </c>
      <c r="AM940" s="9"/>
      <c r="AN940" s="9">
        <v>23</v>
      </c>
      <c r="AO940" s="9">
        <v>26</v>
      </c>
      <c r="AP940" s="9">
        <v>26</v>
      </c>
      <c r="AQ940" s="9">
        <v>25</v>
      </c>
      <c r="AR940" s="9">
        <v>21</v>
      </c>
      <c r="AS940" s="9">
        <v>26</v>
      </c>
      <c r="AT940" s="9">
        <v>26</v>
      </c>
      <c r="AU940" s="9">
        <v>0</v>
      </c>
      <c r="AV940" s="9">
        <v>0</v>
      </c>
      <c r="AW940" s="9">
        <v>1</v>
      </c>
      <c r="AX940" s="9">
        <v>4</v>
      </c>
      <c r="AY940" s="9">
        <v>0</v>
      </c>
      <c r="AZ940" s="9">
        <v>0</v>
      </c>
    </row>
    <row r="941" spans="2:52">
      <c r="B941" t="str">
        <f t="shared" si="70"/>
        <v>Aug</v>
      </c>
      <c r="C941" s="43">
        <f t="shared" si="71"/>
        <v>46243</v>
      </c>
      <c r="D941" s="44">
        <f t="shared" si="72"/>
        <v>46236</v>
      </c>
      <c r="E941" s="9" t="s">
        <v>206</v>
      </c>
      <c r="F941">
        <f t="shared" si="73"/>
        <v>0</v>
      </c>
      <c r="G941">
        <f t="shared" si="74"/>
        <v>8</v>
      </c>
      <c r="AJ941" s="40">
        <v>46236</v>
      </c>
      <c r="AK941" s="9" t="s">
        <v>43</v>
      </c>
      <c r="AL941" s="9" t="s">
        <v>206</v>
      </c>
      <c r="AM941" s="9"/>
      <c r="AN941" s="9">
        <v>0</v>
      </c>
      <c r="AO941" s="9">
        <v>0</v>
      </c>
      <c r="AP941" s="9">
        <v>7</v>
      </c>
      <c r="AQ941" s="9">
        <v>15</v>
      </c>
      <c r="AR941" s="9">
        <v>20</v>
      </c>
      <c r="AS941" s="9">
        <v>0</v>
      </c>
      <c r="AT941" s="9">
        <v>5</v>
      </c>
      <c r="AU941" s="9">
        <v>23</v>
      </c>
      <c r="AV941" s="9">
        <v>32</v>
      </c>
      <c r="AW941" s="9">
        <v>78</v>
      </c>
      <c r="AX941" s="9">
        <v>78</v>
      </c>
      <c r="AY941" s="9">
        <v>117</v>
      </c>
      <c r="AZ941" s="9">
        <v>113</v>
      </c>
    </row>
    <row r="942" spans="2:52">
      <c r="B942" t="str">
        <f t="shared" si="70"/>
        <v>Aug</v>
      </c>
      <c r="C942" s="43">
        <f t="shared" si="71"/>
        <v>46243</v>
      </c>
      <c r="D942" s="44">
        <f t="shared" si="72"/>
        <v>46236</v>
      </c>
      <c r="E942" s="9" t="s">
        <v>207</v>
      </c>
      <c r="F942">
        <f t="shared" si="73"/>
        <v>0</v>
      </c>
      <c r="G942">
        <f t="shared" si="74"/>
        <v>37</v>
      </c>
      <c r="AJ942" s="40">
        <v>46236</v>
      </c>
      <c r="AK942" s="9" t="s">
        <v>203</v>
      </c>
      <c r="AL942" s="9" t="s">
        <v>207</v>
      </c>
      <c r="AM942" s="9"/>
      <c r="AN942" s="9">
        <v>54</v>
      </c>
      <c r="AO942" s="9">
        <v>58</v>
      </c>
      <c r="AP942" s="9">
        <v>67</v>
      </c>
      <c r="AQ942" s="9">
        <v>36</v>
      </c>
      <c r="AR942" s="9">
        <v>40</v>
      </c>
      <c r="AS942" s="9">
        <v>11</v>
      </c>
      <c r="AT942" s="9">
        <v>9</v>
      </c>
      <c r="AU942" s="9">
        <v>0</v>
      </c>
      <c r="AV942" s="9">
        <v>10</v>
      </c>
      <c r="AW942" s="9">
        <v>0</v>
      </c>
      <c r="AX942" s="9">
        <v>0</v>
      </c>
      <c r="AY942" s="9">
        <v>34</v>
      </c>
      <c r="AZ942" s="9">
        <v>37</v>
      </c>
    </row>
    <row r="943" spans="2:52">
      <c r="B943" t="str">
        <f t="shared" si="70"/>
        <v>Aug</v>
      </c>
      <c r="C943" s="43">
        <f t="shared" si="71"/>
        <v>46243</v>
      </c>
      <c r="D943" s="44">
        <f t="shared" si="72"/>
        <v>46236</v>
      </c>
      <c r="E943" s="9" t="s">
        <v>42</v>
      </c>
      <c r="F943">
        <f t="shared" si="73"/>
        <v>0</v>
      </c>
      <c r="G943">
        <f t="shared" si="74"/>
        <v>38</v>
      </c>
      <c r="AJ943" s="40">
        <v>46236</v>
      </c>
      <c r="AK943" s="9" t="s">
        <v>42</v>
      </c>
      <c r="AL943" s="9" t="s">
        <v>42</v>
      </c>
      <c r="AM943" s="9"/>
      <c r="AN943" s="9">
        <v>44</v>
      </c>
      <c r="AO943" s="9">
        <v>96</v>
      </c>
      <c r="AP943" s="9">
        <v>0</v>
      </c>
      <c r="AQ943" s="9">
        <v>16</v>
      </c>
      <c r="AR943" s="9">
        <v>0</v>
      </c>
      <c r="AS943" s="9">
        <v>0</v>
      </c>
      <c r="AT943" s="9">
        <v>126</v>
      </c>
      <c r="AU943" s="9">
        <v>151</v>
      </c>
      <c r="AV943" s="9">
        <v>148</v>
      </c>
      <c r="AW943" s="9">
        <v>143</v>
      </c>
      <c r="AX943" s="9">
        <v>144</v>
      </c>
      <c r="AY943" s="9">
        <v>139</v>
      </c>
      <c r="AZ943" s="9">
        <v>134</v>
      </c>
    </row>
    <row r="944" spans="2:52">
      <c r="B944" t="str">
        <f t="shared" si="70"/>
        <v>Aug</v>
      </c>
      <c r="C944" s="43">
        <f t="shared" si="71"/>
        <v>46243</v>
      </c>
      <c r="D944" s="44">
        <f t="shared" si="72"/>
        <v>46237</v>
      </c>
      <c r="E944" s="9" t="s">
        <v>31</v>
      </c>
      <c r="F944">
        <f t="shared" si="73"/>
        <v>0</v>
      </c>
      <c r="G944">
        <f t="shared" si="74"/>
        <v>-155</v>
      </c>
      <c r="AJ944" s="40">
        <v>46237</v>
      </c>
      <c r="AK944" s="9" t="s">
        <v>204</v>
      </c>
      <c r="AL944" s="9" t="s">
        <v>31</v>
      </c>
      <c r="AM944" s="9"/>
      <c r="AN944" s="9">
        <v>105</v>
      </c>
      <c r="AO944" s="9">
        <v>101</v>
      </c>
      <c r="AP944" s="9">
        <v>0</v>
      </c>
      <c r="AQ944" s="9">
        <v>0</v>
      </c>
      <c r="AR944" s="9">
        <v>54</v>
      </c>
      <c r="AS944" s="9">
        <v>50</v>
      </c>
      <c r="AT944" s="9">
        <v>58</v>
      </c>
      <c r="AU944" s="9">
        <v>89</v>
      </c>
      <c r="AV944" s="9">
        <v>92</v>
      </c>
      <c r="AW944" s="9">
        <v>93</v>
      </c>
      <c r="AX944" s="9">
        <v>75</v>
      </c>
      <c r="AY944" s="9">
        <v>79</v>
      </c>
      <c r="AZ944" s="9">
        <v>85</v>
      </c>
    </row>
    <row r="945" spans="2:52">
      <c r="B945" t="str">
        <f t="shared" si="70"/>
        <v>Aug</v>
      </c>
      <c r="C945" s="43">
        <f t="shared" si="71"/>
        <v>46243</v>
      </c>
      <c r="D945" s="44">
        <f t="shared" si="72"/>
        <v>46237</v>
      </c>
      <c r="E945" s="9" t="s">
        <v>39</v>
      </c>
      <c r="F945">
        <f t="shared" si="73"/>
        <v>0</v>
      </c>
      <c r="G945">
        <f t="shared" si="74"/>
        <v>-38</v>
      </c>
      <c r="AJ945" s="40">
        <v>46237</v>
      </c>
      <c r="AK945" s="9" t="s">
        <v>205</v>
      </c>
      <c r="AL945" s="9" t="s">
        <v>39</v>
      </c>
      <c r="AM945" s="9"/>
      <c r="AN945" s="9">
        <v>26</v>
      </c>
      <c r="AO945" s="9">
        <v>0</v>
      </c>
      <c r="AP945" s="9">
        <v>12</v>
      </c>
      <c r="AQ945" s="9">
        <v>0</v>
      </c>
      <c r="AR945" s="9">
        <v>0</v>
      </c>
      <c r="AS945" s="9">
        <v>47</v>
      </c>
      <c r="AT945" s="9">
        <v>58</v>
      </c>
      <c r="AU945" s="9">
        <v>73</v>
      </c>
      <c r="AV945" s="9">
        <v>39</v>
      </c>
      <c r="AW945" s="9">
        <v>45</v>
      </c>
      <c r="AX945" s="9">
        <v>58</v>
      </c>
      <c r="AY945" s="9">
        <v>68</v>
      </c>
      <c r="AZ945" s="9">
        <v>0</v>
      </c>
    </row>
    <row r="946" spans="2:52">
      <c r="B946" t="str">
        <f t="shared" si="70"/>
        <v>Aug</v>
      </c>
      <c r="C946" s="43">
        <f t="shared" si="71"/>
        <v>46243</v>
      </c>
      <c r="D946" s="44">
        <f t="shared" si="72"/>
        <v>46237</v>
      </c>
      <c r="E946" s="9" t="s">
        <v>40</v>
      </c>
      <c r="F946">
        <f t="shared" si="73"/>
        <v>0</v>
      </c>
      <c r="G946">
        <f t="shared" si="74"/>
        <v>-79</v>
      </c>
      <c r="AJ946" s="40">
        <v>46237</v>
      </c>
      <c r="AK946" s="9" t="s">
        <v>205</v>
      </c>
      <c r="AL946" s="9" t="s">
        <v>40</v>
      </c>
      <c r="AM946" s="9"/>
      <c r="AN946" s="9">
        <v>49</v>
      </c>
      <c r="AO946" s="9">
        <v>205</v>
      </c>
      <c r="AP946" s="9">
        <v>199</v>
      </c>
      <c r="AQ946" s="9">
        <v>207</v>
      </c>
      <c r="AR946" s="9">
        <v>180</v>
      </c>
      <c r="AS946" s="9">
        <v>187</v>
      </c>
      <c r="AT946" s="9">
        <v>187</v>
      </c>
      <c r="AU946" s="9">
        <v>0</v>
      </c>
      <c r="AV946" s="9">
        <v>0</v>
      </c>
      <c r="AW946" s="9">
        <v>0</v>
      </c>
      <c r="AX946" s="9">
        <v>23</v>
      </c>
      <c r="AY946" s="9">
        <v>21</v>
      </c>
      <c r="AZ946" s="9">
        <v>28</v>
      </c>
    </row>
    <row r="947" spans="2:52">
      <c r="B947" t="str">
        <f t="shared" si="70"/>
        <v>Aug</v>
      </c>
      <c r="C947" s="43">
        <f t="shared" si="71"/>
        <v>46243</v>
      </c>
      <c r="D947" s="44">
        <f t="shared" si="72"/>
        <v>46237</v>
      </c>
      <c r="E947" s="9" t="s">
        <v>41</v>
      </c>
      <c r="F947">
        <f t="shared" si="73"/>
        <v>0</v>
      </c>
      <c r="G947">
        <f t="shared" si="74"/>
        <v>-130</v>
      </c>
      <c r="AJ947" s="40">
        <v>46237</v>
      </c>
      <c r="AK947" s="9" t="s">
        <v>41</v>
      </c>
      <c r="AL947" s="9" t="s">
        <v>41</v>
      </c>
      <c r="AM947" s="9"/>
      <c r="AN947" s="9">
        <v>35</v>
      </c>
      <c r="AO947" s="9">
        <v>33</v>
      </c>
      <c r="AP947" s="9">
        <v>0</v>
      </c>
      <c r="AQ947" s="9">
        <v>2</v>
      </c>
      <c r="AR947" s="9">
        <v>0</v>
      </c>
      <c r="AS947" s="9">
        <v>0</v>
      </c>
      <c r="AT947" s="9">
        <v>0</v>
      </c>
      <c r="AU947" s="9">
        <v>2</v>
      </c>
      <c r="AV947" s="9">
        <v>5</v>
      </c>
      <c r="AW947" s="9">
        <v>4</v>
      </c>
      <c r="AX947" s="9">
        <v>0</v>
      </c>
      <c r="AY947" s="9">
        <v>0</v>
      </c>
      <c r="AZ947" s="9">
        <v>4</v>
      </c>
    </row>
    <row r="948" spans="2:52">
      <c r="B948" t="str">
        <f t="shared" si="70"/>
        <v>Aug</v>
      </c>
      <c r="C948" s="43">
        <f t="shared" si="71"/>
        <v>46243</v>
      </c>
      <c r="D948" s="44">
        <f t="shared" si="72"/>
        <v>46237</v>
      </c>
      <c r="E948" s="9" t="s">
        <v>45</v>
      </c>
      <c r="F948">
        <f t="shared" si="73"/>
        <v>0</v>
      </c>
      <c r="G948">
        <f t="shared" si="74"/>
        <v>-69</v>
      </c>
      <c r="AJ948" s="40">
        <v>46237</v>
      </c>
      <c r="AK948" s="9" t="s">
        <v>202</v>
      </c>
      <c r="AL948" s="9" t="s">
        <v>45</v>
      </c>
      <c r="AM948" s="9"/>
      <c r="AN948" s="9">
        <v>56</v>
      </c>
      <c r="AO948" s="9">
        <v>53</v>
      </c>
      <c r="AP948" s="9">
        <v>31</v>
      </c>
      <c r="AQ948" s="9">
        <v>96</v>
      </c>
      <c r="AR948" s="9">
        <v>126</v>
      </c>
      <c r="AS948" s="9">
        <v>0</v>
      </c>
      <c r="AT948" s="9">
        <v>20</v>
      </c>
      <c r="AU948" s="9">
        <v>24</v>
      </c>
      <c r="AV948" s="9">
        <v>73</v>
      </c>
      <c r="AW948" s="9">
        <v>70</v>
      </c>
      <c r="AX948" s="9">
        <v>114</v>
      </c>
      <c r="AY948" s="9">
        <v>111</v>
      </c>
      <c r="AZ948" s="9">
        <v>107</v>
      </c>
    </row>
    <row r="949" spans="2:52">
      <c r="B949" t="str">
        <f t="shared" si="70"/>
        <v>Aug</v>
      </c>
      <c r="C949" s="43">
        <f t="shared" si="71"/>
        <v>46243</v>
      </c>
      <c r="D949" s="44">
        <f t="shared" si="72"/>
        <v>46237</v>
      </c>
      <c r="E949" s="9" t="s">
        <v>46</v>
      </c>
      <c r="F949">
        <f t="shared" si="73"/>
        <v>0</v>
      </c>
      <c r="G949">
        <f t="shared" si="74"/>
        <v>-5</v>
      </c>
      <c r="AJ949" s="40">
        <v>46237</v>
      </c>
      <c r="AK949" s="9" t="s">
        <v>202</v>
      </c>
      <c r="AL949" s="9" t="s">
        <v>46</v>
      </c>
      <c r="AM949" s="9"/>
      <c r="AN949" s="9">
        <v>23</v>
      </c>
      <c r="AO949" s="9">
        <v>68</v>
      </c>
      <c r="AP949" s="9">
        <v>70</v>
      </c>
      <c r="AQ949" s="9">
        <v>58</v>
      </c>
      <c r="AR949" s="9">
        <v>34</v>
      </c>
      <c r="AS949" s="9">
        <v>27</v>
      </c>
      <c r="AT949" s="9">
        <v>30</v>
      </c>
      <c r="AU949" s="9">
        <v>28</v>
      </c>
      <c r="AV949" s="9">
        <v>33</v>
      </c>
      <c r="AW949" s="9">
        <v>37</v>
      </c>
      <c r="AX949" s="9">
        <v>0</v>
      </c>
      <c r="AY949" s="9">
        <v>0</v>
      </c>
      <c r="AZ949" s="9">
        <v>0</v>
      </c>
    </row>
    <row r="950" spans="2:52">
      <c r="B950" t="str">
        <f t="shared" si="70"/>
        <v>Aug</v>
      </c>
      <c r="C950" s="43">
        <f t="shared" si="71"/>
        <v>46243</v>
      </c>
      <c r="D950" s="44">
        <f t="shared" si="72"/>
        <v>46237</v>
      </c>
      <c r="E950" s="9" t="s">
        <v>47</v>
      </c>
      <c r="F950">
        <f t="shared" si="73"/>
        <v>0</v>
      </c>
      <c r="G950">
        <f t="shared" si="74"/>
        <v>22</v>
      </c>
      <c r="AJ950" s="40">
        <v>46237</v>
      </c>
      <c r="AK950" s="9" t="s">
        <v>202</v>
      </c>
      <c r="AL950" s="9" t="s">
        <v>47</v>
      </c>
      <c r="AM950" s="9"/>
      <c r="AN950" s="9">
        <v>0</v>
      </c>
      <c r="AO950" s="9">
        <v>5</v>
      </c>
      <c r="AP950" s="9">
        <v>9</v>
      </c>
      <c r="AQ950" s="9">
        <v>10</v>
      </c>
      <c r="AR950" s="9">
        <v>11</v>
      </c>
      <c r="AS950" s="9">
        <v>9</v>
      </c>
      <c r="AT950" s="9">
        <v>6</v>
      </c>
      <c r="AU950" s="9">
        <v>9</v>
      </c>
      <c r="AV950" s="9">
        <v>10</v>
      </c>
      <c r="AW950" s="9">
        <v>9</v>
      </c>
      <c r="AX950" s="9">
        <v>14</v>
      </c>
      <c r="AY950" s="9">
        <v>19</v>
      </c>
      <c r="AZ950" s="9">
        <v>22</v>
      </c>
    </row>
    <row r="951" spans="2:52">
      <c r="B951" t="str">
        <f t="shared" si="70"/>
        <v>Aug</v>
      </c>
      <c r="C951" s="43">
        <f t="shared" si="71"/>
        <v>46243</v>
      </c>
      <c r="D951" s="44">
        <f t="shared" si="72"/>
        <v>46237</v>
      </c>
      <c r="E951" s="9" t="s">
        <v>206</v>
      </c>
      <c r="F951">
        <f t="shared" si="73"/>
        <v>0</v>
      </c>
      <c r="G951">
        <f t="shared" si="74"/>
        <v>-93</v>
      </c>
      <c r="AJ951" s="40">
        <v>46237</v>
      </c>
      <c r="AK951" s="9" t="s">
        <v>43</v>
      </c>
      <c r="AL951" s="9" t="s">
        <v>206</v>
      </c>
      <c r="AM951" s="9"/>
      <c r="AN951" s="9">
        <v>0</v>
      </c>
      <c r="AO951" s="9">
        <v>20</v>
      </c>
      <c r="AP951" s="9">
        <v>0</v>
      </c>
      <c r="AQ951" s="9">
        <v>10</v>
      </c>
      <c r="AR951" s="9">
        <v>5</v>
      </c>
      <c r="AS951" s="9">
        <v>6</v>
      </c>
      <c r="AT951" s="9">
        <v>62</v>
      </c>
      <c r="AU951" s="9">
        <v>66</v>
      </c>
      <c r="AV951" s="9">
        <v>24</v>
      </c>
      <c r="AW951" s="9">
        <v>25</v>
      </c>
      <c r="AX951" s="9">
        <v>0</v>
      </c>
      <c r="AY951" s="9">
        <v>0</v>
      </c>
      <c r="AZ951" s="9">
        <v>20</v>
      </c>
    </row>
    <row r="952" spans="2:52">
      <c r="B952" t="str">
        <f t="shared" si="70"/>
        <v>Aug</v>
      </c>
      <c r="C952" s="43">
        <f t="shared" si="71"/>
        <v>46243</v>
      </c>
      <c r="D952" s="44">
        <f t="shared" si="72"/>
        <v>46237</v>
      </c>
      <c r="E952" s="9" t="s">
        <v>207</v>
      </c>
      <c r="F952">
        <f t="shared" si="73"/>
        <v>0</v>
      </c>
      <c r="G952">
        <f t="shared" si="74"/>
        <v>88</v>
      </c>
      <c r="AJ952" s="40">
        <v>46237</v>
      </c>
      <c r="AK952" s="9" t="s">
        <v>203</v>
      </c>
      <c r="AL952" s="9" t="s">
        <v>207</v>
      </c>
      <c r="AM952" s="9"/>
      <c r="AN952" s="9">
        <v>0</v>
      </c>
      <c r="AO952" s="9">
        <v>0</v>
      </c>
      <c r="AP952" s="9">
        <v>0</v>
      </c>
      <c r="AQ952" s="9">
        <v>0</v>
      </c>
      <c r="AR952" s="9">
        <v>0</v>
      </c>
      <c r="AS952" s="9">
        <v>9</v>
      </c>
      <c r="AT952" s="9">
        <v>17</v>
      </c>
      <c r="AU952" s="9">
        <v>12</v>
      </c>
      <c r="AV952" s="9">
        <v>38</v>
      </c>
      <c r="AW952" s="9">
        <v>94</v>
      </c>
      <c r="AX952" s="9">
        <v>98</v>
      </c>
      <c r="AY952" s="9">
        <v>95</v>
      </c>
      <c r="AZ952" s="9">
        <v>125</v>
      </c>
    </row>
    <row r="953" spans="2:52">
      <c r="B953" t="str">
        <f t="shared" si="70"/>
        <v>Aug</v>
      </c>
      <c r="C953" s="43">
        <f t="shared" si="71"/>
        <v>46243</v>
      </c>
      <c r="D953" s="44">
        <f t="shared" si="72"/>
        <v>46237</v>
      </c>
      <c r="E953" s="9" t="s">
        <v>42</v>
      </c>
      <c r="F953">
        <f t="shared" si="73"/>
        <v>0</v>
      </c>
      <c r="G953">
        <f t="shared" si="74"/>
        <v>-134</v>
      </c>
      <c r="AJ953" s="40">
        <v>46237</v>
      </c>
      <c r="AK953" s="9" t="s">
        <v>42</v>
      </c>
      <c r="AL953" s="9" t="s">
        <v>42</v>
      </c>
      <c r="AM953" s="9"/>
      <c r="AN953" s="9">
        <v>14</v>
      </c>
      <c r="AO953" s="9">
        <v>20</v>
      </c>
      <c r="AP953" s="9">
        <v>18</v>
      </c>
      <c r="AQ953" s="9">
        <v>0</v>
      </c>
      <c r="AR953" s="9">
        <v>8</v>
      </c>
      <c r="AS953" s="9">
        <v>74</v>
      </c>
      <c r="AT953" s="9">
        <v>78</v>
      </c>
      <c r="AU953" s="9">
        <v>85</v>
      </c>
      <c r="AV953" s="9">
        <v>81</v>
      </c>
      <c r="AW953" s="9">
        <v>86</v>
      </c>
      <c r="AX953" s="9">
        <v>90</v>
      </c>
      <c r="AY953" s="9">
        <v>84</v>
      </c>
      <c r="AZ953" s="9">
        <v>0</v>
      </c>
    </row>
    <row r="954" spans="2:52">
      <c r="B954" t="str">
        <f t="shared" si="70"/>
        <v>Aug</v>
      </c>
      <c r="C954" s="43">
        <f t="shared" si="71"/>
        <v>46243</v>
      </c>
      <c r="D954" s="44">
        <f t="shared" si="72"/>
        <v>46238</v>
      </c>
      <c r="E954" s="9" t="s">
        <v>31</v>
      </c>
      <c r="F954">
        <f t="shared" si="73"/>
        <v>0</v>
      </c>
      <c r="G954">
        <f t="shared" si="74"/>
        <v>56</v>
      </c>
      <c r="AJ954" s="40">
        <v>46238</v>
      </c>
      <c r="AK954" s="9" t="s">
        <v>204</v>
      </c>
      <c r="AL954" s="9" t="s">
        <v>31</v>
      </c>
      <c r="AM954" s="9"/>
      <c r="AN954" s="9">
        <v>86</v>
      </c>
      <c r="AO954" s="9">
        <v>83</v>
      </c>
      <c r="AP954" s="9">
        <v>69</v>
      </c>
      <c r="AQ954" s="9">
        <v>72</v>
      </c>
      <c r="AR954" s="9">
        <v>89</v>
      </c>
      <c r="AS954" s="9">
        <v>98</v>
      </c>
      <c r="AT954" s="9">
        <v>86</v>
      </c>
      <c r="AU954" s="9">
        <v>99</v>
      </c>
      <c r="AV954" s="9">
        <v>110</v>
      </c>
      <c r="AW954" s="9">
        <v>102</v>
      </c>
      <c r="AX954" s="9">
        <v>122</v>
      </c>
      <c r="AY954" s="9">
        <v>129</v>
      </c>
      <c r="AZ954" s="9">
        <v>141</v>
      </c>
    </row>
    <row r="955" spans="2:52">
      <c r="B955" t="str">
        <f t="shared" si="70"/>
        <v>Aug</v>
      </c>
      <c r="C955" s="43">
        <f t="shared" si="71"/>
        <v>46243</v>
      </c>
      <c r="D955" s="44">
        <f t="shared" si="72"/>
        <v>46238</v>
      </c>
      <c r="E955" s="9" t="s">
        <v>39</v>
      </c>
      <c r="F955">
        <f t="shared" si="73"/>
        <v>0</v>
      </c>
      <c r="G955">
        <f t="shared" si="74"/>
        <v>99</v>
      </c>
      <c r="AJ955" s="40">
        <v>46238</v>
      </c>
      <c r="AK955" s="9" t="s">
        <v>205</v>
      </c>
      <c r="AL955" s="9" t="s">
        <v>39</v>
      </c>
      <c r="AM955" s="9"/>
      <c r="AN955" s="9">
        <v>113</v>
      </c>
      <c r="AO955" s="9">
        <v>99</v>
      </c>
      <c r="AP955" s="9">
        <v>114</v>
      </c>
      <c r="AQ955" s="9">
        <v>122</v>
      </c>
      <c r="AR955" s="9">
        <v>110</v>
      </c>
      <c r="AS955" s="9">
        <v>113</v>
      </c>
      <c r="AT955" s="9">
        <v>128</v>
      </c>
      <c r="AU955" s="9">
        <v>132</v>
      </c>
      <c r="AV955" s="9">
        <v>119</v>
      </c>
      <c r="AW955" s="9">
        <v>111</v>
      </c>
      <c r="AX955" s="9">
        <v>108</v>
      </c>
      <c r="AY955" s="9">
        <v>80</v>
      </c>
      <c r="AZ955" s="9">
        <v>99</v>
      </c>
    </row>
    <row r="956" spans="2:52">
      <c r="B956" t="str">
        <f t="shared" si="70"/>
        <v>Aug</v>
      </c>
      <c r="C956" s="43">
        <f t="shared" si="71"/>
        <v>46243</v>
      </c>
      <c r="D956" s="44">
        <f t="shared" si="72"/>
        <v>46238</v>
      </c>
      <c r="E956" s="9" t="s">
        <v>40</v>
      </c>
      <c r="F956">
        <f t="shared" si="73"/>
        <v>0</v>
      </c>
      <c r="G956">
        <f t="shared" si="74"/>
        <v>29</v>
      </c>
      <c r="AJ956" s="40">
        <v>46238</v>
      </c>
      <c r="AK956" s="9" t="s">
        <v>205</v>
      </c>
      <c r="AL956" s="9" t="s">
        <v>40</v>
      </c>
      <c r="AM956" s="9"/>
      <c r="AN956" s="9">
        <v>89</v>
      </c>
      <c r="AO956" s="9">
        <v>91</v>
      </c>
      <c r="AP956" s="9">
        <v>84</v>
      </c>
      <c r="AQ956" s="9">
        <v>0</v>
      </c>
      <c r="AR956" s="9">
        <v>43</v>
      </c>
      <c r="AS956" s="9">
        <v>54</v>
      </c>
      <c r="AT956" s="9">
        <v>59</v>
      </c>
      <c r="AU956" s="9">
        <v>60</v>
      </c>
      <c r="AV956" s="9">
        <v>42</v>
      </c>
      <c r="AW956" s="9">
        <v>48</v>
      </c>
      <c r="AX956" s="9">
        <v>43</v>
      </c>
      <c r="AY956" s="9">
        <v>40</v>
      </c>
      <c r="AZ956" s="9">
        <v>57</v>
      </c>
    </row>
    <row r="957" spans="2:52">
      <c r="B957" t="str">
        <f t="shared" si="70"/>
        <v>Aug</v>
      </c>
      <c r="C957" s="43">
        <f t="shared" si="71"/>
        <v>46243</v>
      </c>
      <c r="D957" s="44">
        <f t="shared" si="72"/>
        <v>46238</v>
      </c>
      <c r="E957" s="9" t="s">
        <v>41</v>
      </c>
      <c r="F957">
        <f t="shared" si="73"/>
        <v>0</v>
      </c>
      <c r="G957">
        <f t="shared" si="74"/>
        <v>-2</v>
      </c>
      <c r="AJ957" s="40">
        <v>46238</v>
      </c>
      <c r="AK957" s="9" t="s">
        <v>41</v>
      </c>
      <c r="AL957" s="9" t="s">
        <v>41</v>
      </c>
      <c r="AM957" s="9"/>
      <c r="AN957" s="9">
        <v>4</v>
      </c>
      <c r="AO957" s="9">
        <v>3</v>
      </c>
      <c r="AP957" s="9">
        <v>3</v>
      </c>
      <c r="AQ957" s="9">
        <v>3</v>
      </c>
      <c r="AR957" s="9">
        <v>6</v>
      </c>
      <c r="AS957" s="9">
        <v>8</v>
      </c>
      <c r="AT957" s="9">
        <v>7</v>
      </c>
      <c r="AU957" s="9">
        <v>12</v>
      </c>
      <c r="AV957" s="9">
        <v>0</v>
      </c>
      <c r="AW957" s="9">
        <v>0</v>
      </c>
      <c r="AX957" s="9">
        <v>1</v>
      </c>
      <c r="AY957" s="9">
        <v>0</v>
      </c>
      <c r="AZ957" s="9">
        <v>2</v>
      </c>
    </row>
    <row r="958" spans="2:52">
      <c r="B958" t="str">
        <f t="shared" si="70"/>
        <v>Aug</v>
      </c>
      <c r="C958" s="43">
        <f t="shared" si="71"/>
        <v>46243</v>
      </c>
      <c r="D958" s="44">
        <f t="shared" si="72"/>
        <v>46238</v>
      </c>
      <c r="E958" s="9" t="s">
        <v>45</v>
      </c>
      <c r="F958">
        <f t="shared" si="73"/>
        <v>0</v>
      </c>
      <c r="G958">
        <f t="shared" si="74"/>
        <v>-77</v>
      </c>
      <c r="AJ958" s="40">
        <v>46238</v>
      </c>
      <c r="AK958" s="9" t="s">
        <v>202</v>
      </c>
      <c r="AL958" s="9" t="s">
        <v>45</v>
      </c>
      <c r="AM958" s="9"/>
      <c r="AN958" s="9">
        <v>24</v>
      </c>
      <c r="AO958" s="9">
        <v>20</v>
      </c>
      <c r="AP958" s="9">
        <v>24</v>
      </c>
      <c r="AQ958" s="9">
        <v>12</v>
      </c>
      <c r="AR958" s="9">
        <v>19</v>
      </c>
      <c r="AS958" s="9">
        <v>24</v>
      </c>
      <c r="AT958" s="9">
        <v>17</v>
      </c>
      <c r="AU958" s="9">
        <v>15</v>
      </c>
      <c r="AV958" s="9">
        <v>61</v>
      </c>
      <c r="AW958" s="9">
        <v>43</v>
      </c>
      <c r="AX958" s="9">
        <v>37</v>
      </c>
      <c r="AY958" s="9">
        <v>33</v>
      </c>
      <c r="AZ958" s="9">
        <v>30</v>
      </c>
    </row>
    <row r="959" spans="2:52">
      <c r="B959" t="str">
        <f t="shared" si="70"/>
        <v>Aug</v>
      </c>
      <c r="C959" s="43">
        <f t="shared" si="71"/>
        <v>46243</v>
      </c>
      <c r="D959" s="44">
        <f t="shared" si="72"/>
        <v>46238</v>
      </c>
      <c r="E959" s="9" t="s">
        <v>46</v>
      </c>
      <c r="F959">
        <f t="shared" si="73"/>
        <v>0</v>
      </c>
      <c r="G959">
        <f t="shared" si="74"/>
        <v>77</v>
      </c>
      <c r="AJ959" s="40">
        <v>46238</v>
      </c>
      <c r="AK959" s="9" t="s">
        <v>202</v>
      </c>
      <c r="AL959" s="9" t="s">
        <v>46</v>
      </c>
      <c r="AM959" s="9"/>
      <c r="AN959" s="9">
        <v>5</v>
      </c>
      <c r="AO959" s="9">
        <v>9</v>
      </c>
      <c r="AP959" s="9">
        <v>0</v>
      </c>
      <c r="AQ959" s="9">
        <v>0</v>
      </c>
      <c r="AR959" s="9">
        <v>0</v>
      </c>
      <c r="AS959" s="9">
        <v>0</v>
      </c>
      <c r="AT959" s="9">
        <v>0</v>
      </c>
      <c r="AU959" s="9">
        <v>57</v>
      </c>
      <c r="AV959" s="9">
        <v>57</v>
      </c>
      <c r="AW959" s="9">
        <v>55</v>
      </c>
      <c r="AX959" s="9">
        <v>103</v>
      </c>
      <c r="AY959" s="9">
        <v>72</v>
      </c>
      <c r="AZ959" s="9">
        <v>77</v>
      </c>
    </row>
    <row r="960" spans="2:52">
      <c r="B960" t="str">
        <f t="shared" si="70"/>
        <v>Aug</v>
      </c>
      <c r="C960" s="43">
        <f t="shared" si="71"/>
        <v>46243</v>
      </c>
      <c r="D960" s="44">
        <f t="shared" si="72"/>
        <v>46238</v>
      </c>
      <c r="E960" s="9" t="s">
        <v>47</v>
      </c>
      <c r="F960">
        <f t="shared" si="73"/>
        <v>0</v>
      </c>
      <c r="G960">
        <f t="shared" si="74"/>
        <v>61</v>
      </c>
      <c r="AJ960" s="40">
        <v>46238</v>
      </c>
      <c r="AK960" s="9" t="s">
        <v>202</v>
      </c>
      <c r="AL960" s="9" t="s">
        <v>47</v>
      </c>
      <c r="AM960" s="9"/>
      <c r="AN960" s="9">
        <v>30</v>
      </c>
      <c r="AO960" s="9">
        <v>28</v>
      </c>
      <c r="AP960" s="9">
        <v>33</v>
      </c>
      <c r="AQ960" s="9">
        <v>33</v>
      </c>
      <c r="AR960" s="9">
        <v>119</v>
      </c>
      <c r="AS960" s="9">
        <v>118</v>
      </c>
      <c r="AT960" s="9">
        <v>123</v>
      </c>
      <c r="AU960" s="9">
        <v>126</v>
      </c>
      <c r="AV960" s="9">
        <v>127</v>
      </c>
      <c r="AW960" s="9">
        <v>123</v>
      </c>
      <c r="AX960" s="9">
        <v>122</v>
      </c>
      <c r="AY960" s="9">
        <v>81</v>
      </c>
      <c r="AZ960" s="9">
        <v>83</v>
      </c>
    </row>
    <row r="961" spans="2:52">
      <c r="B961" t="str">
        <f t="shared" si="70"/>
        <v>Aug</v>
      </c>
      <c r="C961" s="43">
        <f t="shared" si="71"/>
        <v>46243</v>
      </c>
      <c r="D961" s="44">
        <f t="shared" si="72"/>
        <v>46238</v>
      </c>
      <c r="E961" s="9" t="s">
        <v>206</v>
      </c>
      <c r="F961">
        <f t="shared" si="73"/>
        <v>0</v>
      </c>
      <c r="G961">
        <f t="shared" si="74"/>
        <v>-7</v>
      </c>
      <c r="AJ961" s="40">
        <v>46238</v>
      </c>
      <c r="AK961" s="9" t="s">
        <v>43</v>
      </c>
      <c r="AL961" s="9" t="s">
        <v>206</v>
      </c>
      <c r="AM961" s="9"/>
      <c r="AN961" s="9">
        <v>30</v>
      </c>
      <c r="AO961" s="9">
        <v>32</v>
      </c>
      <c r="AP961" s="9">
        <v>25</v>
      </c>
      <c r="AQ961" s="9">
        <v>33</v>
      </c>
      <c r="AR961" s="9">
        <v>41</v>
      </c>
      <c r="AS961" s="9">
        <v>46</v>
      </c>
      <c r="AT961" s="9">
        <v>39</v>
      </c>
      <c r="AU961" s="9">
        <v>0</v>
      </c>
      <c r="AV961" s="9">
        <v>23</v>
      </c>
      <c r="AW961" s="9">
        <v>28</v>
      </c>
      <c r="AX961" s="9">
        <v>22</v>
      </c>
      <c r="AY961" s="9">
        <v>22</v>
      </c>
      <c r="AZ961" s="9">
        <v>13</v>
      </c>
    </row>
    <row r="962" spans="2:52">
      <c r="B962" t="str">
        <f t="shared" si="70"/>
        <v>Aug</v>
      </c>
      <c r="C962" s="43">
        <f t="shared" si="71"/>
        <v>46243</v>
      </c>
      <c r="D962" s="44">
        <f t="shared" si="72"/>
        <v>46238</v>
      </c>
      <c r="E962" s="9" t="s">
        <v>207</v>
      </c>
      <c r="F962">
        <f t="shared" si="73"/>
        <v>0</v>
      </c>
      <c r="G962">
        <f t="shared" si="74"/>
        <v>-91</v>
      </c>
      <c r="AJ962" s="40">
        <v>46238</v>
      </c>
      <c r="AK962" s="9" t="s">
        <v>203</v>
      </c>
      <c r="AL962" s="9" t="s">
        <v>207</v>
      </c>
      <c r="AM962" s="9"/>
      <c r="AN962" s="9">
        <v>61</v>
      </c>
      <c r="AO962" s="9">
        <v>0</v>
      </c>
      <c r="AP962" s="9">
        <v>11</v>
      </c>
      <c r="AQ962" s="9">
        <v>17</v>
      </c>
      <c r="AR962" s="9">
        <v>42</v>
      </c>
      <c r="AS962" s="9">
        <v>35</v>
      </c>
      <c r="AT962" s="9">
        <v>30</v>
      </c>
      <c r="AU962" s="9">
        <v>37</v>
      </c>
      <c r="AV962" s="9">
        <v>43</v>
      </c>
      <c r="AW962" s="9">
        <v>35</v>
      </c>
      <c r="AX962" s="9">
        <v>32</v>
      </c>
      <c r="AY962" s="9">
        <v>38</v>
      </c>
      <c r="AZ962" s="9">
        <v>34</v>
      </c>
    </row>
    <row r="963" spans="2:52">
      <c r="B963" t="str">
        <f t="shared" si="70"/>
        <v>Aug</v>
      </c>
      <c r="C963" s="43">
        <f t="shared" si="71"/>
        <v>46243</v>
      </c>
      <c r="D963" s="44">
        <f t="shared" si="72"/>
        <v>46238</v>
      </c>
      <c r="E963" s="9" t="s">
        <v>42</v>
      </c>
      <c r="F963">
        <f t="shared" si="73"/>
        <v>0</v>
      </c>
      <c r="G963">
        <f t="shared" si="74"/>
        <v>22</v>
      </c>
      <c r="AJ963" s="40">
        <v>46238</v>
      </c>
      <c r="AK963" s="9" t="s">
        <v>42</v>
      </c>
      <c r="AL963" s="9" t="s">
        <v>42</v>
      </c>
      <c r="AM963" s="9"/>
      <c r="AN963" s="9">
        <v>9</v>
      </c>
      <c r="AO963" s="9">
        <v>0</v>
      </c>
      <c r="AP963" s="9">
        <v>6</v>
      </c>
      <c r="AQ963" s="9">
        <v>4</v>
      </c>
      <c r="AR963" s="9">
        <v>0</v>
      </c>
      <c r="AS963" s="9">
        <v>4</v>
      </c>
      <c r="AT963" s="9">
        <v>0</v>
      </c>
      <c r="AU963" s="9">
        <v>20</v>
      </c>
      <c r="AV963" s="9">
        <v>26</v>
      </c>
      <c r="AW963" s="9">
        <v>22</v>
      </c>
      <c r="AX963" s="9">
        <v>19</v>
      </c>
      <c r="AY963" s="9">
        <v>15</v>
      </c>
      <c r="AZ963" s="9">
        <v>22</v>
      </c>
    </row>
    <row r="964" spans="2:52">
      <c r="B964" t="str">
        <f t="shared" si="70"/>
        <v>Aug</v>
      </c>
      <c r="C964" s="43">
        <f t="shared" si="71"/>
        <v>46243</v>
      </c>
      <c r="D964" s="44">
        <f t="shared" si="72"/>
        <v>46239</v>
      </c>
      <c r="E964" s="9" t="s">
        <v>31</v>
      </c>
      <c r="F964">
        <f t="shared" si="73"/>
        <v>0</v>
      </c>
      <c r="G964">
        <f t="shared" si="74"/>
        <v>-122</v>
      </c>
      <c r="AJ964" s="40">
        <v>46239</v>
      </c>
      <c r="AK964" s="9" t="s">
        <v>204</v>
      </c>
      <c r="AL964" s="9" t="s">
        <v>31</v>
      </c>
      <c r="AM964" s="9"/>
      <c r="AN964" s="9">
        <v>110</v>
      </c>
      <c r="AO964" s="9">
        <v>110</v>
      </c>
      <c r="AP964" s="9">
        <v>93</v>
      </c>
      <c r="AQ964" s="9">
        <v>104</v>
      </c>
      <c r="AR964" s="9">
        <v>104</v>
      </c>
      <c r="AS964" s="9">
        <v>86</v>
      </c>
      <c r="AT964" s="9">
        <v>99</v>
      </c>
      <c r="AU964" s="9">
        <v>0</v>
      </c>
      <c r="AV964" s="9">
        <v>46</v>
      </c>
      <c r="AW964" s="9">
        <v>0</v>
      </c>
      <c r="AX964" s="9">
        <v>0</v>
      </c>
      <c r="AY964" s="9">
        <v>0</v>
      </c>
      <c r="AZ964" s="9">
        <v>19</v>
      </c>
    </row>
    <row r="965" spans="2:52">
      <c r="B965" t="str">
        <f t="shared" ref="B965:B1028" si="75">TEXT(C965,"MMM")</f>
        <v>Aug</v>
      </c>
      <c r="C965" s="43">
        <f t="shared" ref="C965:C1028" si="76">AJ965+(8-WEEKDAY(AJ965))</f>
        <v>46243</v>
      </c>
      <c r="D965" s="44">
        <f t="shared" ref="D965:D1028" si="77">AJ965</f>
        <v>46239</v>
      </c>
      <c r="E965" s="9" t="s">
        <v>39</v>
      </c>
      <c r="F965">
        <f t="shared" ref="F965:F1028" si="78">IF(SUM(V965:AI965)&lt;=0,0,SUM(V965:AI965))</f>
        <v>0</v>
      </c>
      <c r="G965">
        <f t="shared" si="74"/>
        <v>-71</v>
      </c>
      <c r="AJ965" s="40">
        <v>46239</v>
      </c>
      <c r="AK965" s="9" t="s">
        <v>205</v>
      </c>
      <c r="AL965" s="9" t="s">
        <v>39</v>
      </c>
      <c r="AM965" s="9"/>
      <c r="AN965" s="9">
        <v>136</v>
      </c>
      <c r="AO965" s="9">
        <v>201</v>
      </c>
      <c r="AP965" s="9">
        <v>188</v>
      </c>
      <c r="AQ965" s="9">
        <v>0</v>
      </c>
      <c r="AR965" s="9">
        <v>1</v>
      </c>
      <c r="AS965" s="9">
        <v>0</v>
      </c>
      <c r="AT965" s="9">
        <v>0</v>
      </c>
      <c r="AU965" s="9">
        <v>29</v>
      </c>
      <c r="AV965" s="9">
        <v>18</v>
      </c>
      <c r="AW965" s="9">
        <v>0</v>
      </c>
      <c r="AX965" s="9">
        <v>10</v>
      </c>
      <c r="AY965" s="9">
        <v>13</v>
      </c>
      <c r="AZ965" s="9">
        <v>28</v>
      </c>
    </row>
    <row r="966" spans="2:52">
      <c r="B966" t="str">
        <f t="shared" si="75"/>
        <v>Aug</v>
      </c>
      <c r="C966" s="43">
        <f t="shared" si="76"/>
        <v>46243</v>
      </c>
      <c r="D966" s="44">
        <f t="shared" si="77"/>
        <v>46239</v>
      </c>
      <c r="E966" s="9" t="s">
        <v>40</v>
      </c>
      <c r="F966">
        <f t="shared" si="78"/>
        <v>0</v>
      </c>
      <c r="G966">
        <f t="shared" si="74"/>
        <v>-57</v>
      </c>
      <c r="AJ966" s="40">
        <v>46239</v>
      </c>
      <c r="AK966" s="9" t="s">
        <v>205</v>
      </c>
      <c r="AL966" s="9" t="s">
        <v>40</v>
      </c>
      <c r="AM966" s="9"/>
      <c r="AN966" s="9">
        <v>45</v>
      </c>
      <c r="AO966" s="9">
        <v>46</v>
      </c>
      <c r="AP966" s="9">
        <v>42</v>
      </c>
      <c r="AQ966" s="9">
        <v>37</v>
      </c>
      <c r="AR966" s="9">
        <v>0</v>
      </c>
      <c r="AS966" s="9">
        <v>0</v>
      </c>
      <c r="AT966" s="9">
        <v>6</v>
      </c>
      <c r="AU966" s="9">
        <v>14</v>
      </c>
      <c r="AV966" s="9">
        <v>9</v>
      </c>
      <c r="AW966" s="9">
        <v>48</v>
      </c>
      <c r="AX966" s="9">
        <v>49</v>
      </c>
      <c r="AY966" s="9">
        <v>53</v>
      </c>
      <c r="AZ966" s="9">
        <v>0</v>
      </c>
    </row>
    <row r="967" spans="2:52">
      <c r="B967" t="str">
        <f t="shared" si="75"/>
        <v>Aug</v>
      </c>
      <c r="C967" s="43">
        <f t="shared" si="76"/>
        <v>46243</v>
      </c>
      <c r="D967" s="44">
        <f t="shared" si="77"/>
        <v>46239</v>
      </c>
      <c r="E967" s="9" t="s">
        <v>41</v>
      </c>
      <c r="F967">
        <f t="shared" si="78"/>
        <v>0</v>
      </c>
      <c r="G967">
        <f t="shared" si="74"/>
        <v>7</v>
      </c>
      <c r="AJ967" s="40">
        <v>46239</v>
      </c>
      <c r="AK967" s="9" t="s">
        <v>41</v>
      </c>
      <c r="AL967" s="9" t="s">
        <v>41</v>
      </c>
      <c r="AM967" s="9"/>
      <c r="AN967" s="9">
        <v>36</v>
      </c>
      <c r="AO967" s="9">
        <v>41</v>
      </c>
      <c r="AP967" s="9">
        <v>12</v>
      </c>
      <c r="AQ967" s="9">
        <v>0</v>
      </c>
      <c r="AR967" s="9">
        <v>4</v>
      </c>
      <c r="AS967" s="9">
        <v>0</v>
      </c>
      <c r="AT967" s="9">
        <v>1</v>
      </c>
      <c r="AU967" s="9">
        <v>36</v>
      </c>
      <c r="AV967" s="9">
        <v>34</v>
      </c>
      <c r="AW967" s="9">
        <v>31</v>
      </c>
      <c r="AX967" s="9">
        <v>13</v>
      </c>
      <c r="AY967" s="9">
        <v>9</v>
      </c>
      <c r="AZ967" s="9">
        <v>9</v>
      </c>
    </row>
    <row r="968" spans="2:52">
      <c r="B968" t="str">
        <f t="shared" si="75"/>
        <v>Aug</v>
      </c>
      <c r="C968" s="43">
        <f t="shared" si="76"/>
        <v>46243</v>
      </c>
      <c r="D968" s="44">
        <f t="shared" si="77"/>
        <v>46239</v>
      </c>
      <c r="E968" s="9" t="s">
        <v>45</v>
      </c>
      <c r="F968">
        <f t="shared" si="78"/>
        <v>0</v>
      </c>
      <c r="G968">
        <f t="shared" si="74"/>
        <v>-30</v>
      </c>
      <c r="AJ968" s="40">
        <v>46239</v>
      </c>
      <c r="AK968" s="9" t="s">
        <v>202</v>
      </c>
      <c r="AL968" s="9" t="s">
        <v>45</v>
      </c>
      <c r="AM968" s="9"/>
      <c r="AN968" s="9">
        <v>59</v>
      </c>
      <c r="AO968" s="9">
        <v>62</v>
      </c>
      <c r="AP968" s="9">
        <v>69</v>
      </c>
      <c r="AQ968" s="9">
        <v>65</v>
      </c>
      <c r="AR968" s="9">
        <v>184</v>
      </c>
      <c r="AS968" s="9">
        <v>154</v>
      </c>
      <c r="AT968" s="9">
        <v>149</v>
      </c>
      <c r="AU968" s="9">
        <v>148</v>
      </c>
      <c r="AV968" s="9">
        <v>151</v>
      </c>
      <c r="AW968" s="9">
        <v>184</v>
      </c>
      <c r="AX968" s="9">
        <v>178</v>
      </c>
      <c r="AY968" s="9">
        <v>171</v>
      </c>
      <c r="AZ968" s="9">
        <v>0</v>
      </c>
    </row>
    <row r="969" spans="2:52">
      <c r="B969" t="str">
        <f t="shared" si="75"/>
        <v>Aug</v>
      </c>
      <c r="C969" s="43">
        <f t="shared" si="76"/>
        <v>46243</v>
      </c>
      <c r="D969" s="44">
        <f t="shared" si="77"/>
        <v>46239</v>
      </c>
      <c r="E969" s="9" t="s">
        <v>46</v>
      </c>
      <c r="F969">
        <f t="shared" si="78"/>
        <v>0</v>
      </c>
      <c r="G969">
        <f t="shared" si="74"/>
        <v>-77</v>
      </c>
      <c r="AJ969" s="40">
        <v>46239</v>
      </c>
      <c r="AK969" s="9" t="s">
        <v>202</v>
      </c>
      <c r="AL969" s="9" t="s">
        <v>46</v>
      </c>
      <c r="AM969" s="9"/>
      <c r="AN969" s="9">
        <v>40</v>
      </c>
      <c r="AO969" s="9">
        <v>44</v>
      </c>
      <c r="AP969" s="9">
        <v>48</v>
      </c>
      <c r="AQ969" s="9">
        <v>95</v>
      </c>
      <c r="AR969" s="9">
        <v>96</v>
      </c>
      <c r="AS969" s="9">
        <v>0</v>
      </c>
      <c r="AT969" s="9">
        <v>0</v>
      </c>
      <c r="AU969" s="9">
        <v>1</v>
      </c>
      <c r="AV969" s="9">
        <v>2</v>
      </c>
      <c r="AW969" s="9">
        <v>4</v>
      </c>
      <c r="AX969" s="9">
        <v>3</v>
      </c>
      <c r="AY969" s="9">
        <v>0</v>
      </c>
      <c r="AZ969" s="9">
        <v>0</v>
      </c>
    </row>
    <row r="970" spans="2:52">
      <c r="B970" t="str">
        <f t="shared" si="75"/>
        <v>Aug</v>
      </c>
      <c r="C970" s="43">
        <f t="shared" si="76"/>
        <v>46243</v>
      </c>
      <c r="D970" s="44">
        <f t="shared" si="77"/>
        <v>46239</v>
      </c>
      <c r="E970" s="9" t="s">
        <v>47</v>
      </c>
      <c r="F970">
        <f t="shared" si="78"/>
        <v>0</v>
      </c>
      <c r="G970">
        <f t="shared" si="74"/>
        <v>-27</v>
      </c>
      <c r="AJ970" s="40">
        <v>46239</v>
      </c>
      <c r="AK970" s="9" t="s">
        <v>202</v>
      </c>
      <c r="AL970" s="9" t="s">
        <v>47</v>
      </c>
      <c r="AM970" s="9"/>
      <c r="AN970" s="9">
        <v>5</v>
      </c>
      <c r="AO970" s="9">
        <v>3</v>
      </c>
      <c r="AP970" s="9">
        <v>0</v>
      </c>
      <c r="AQ970" s="9">
        <v>0</v>
      </c>
      <c r="AR970" s="9">
        <v>5</v>
      </c>
      <c r="AS970" s="9">
        <v>4</v>
      </c>
      <c r="AT970" s="9">
        <v>0</v>
      </c>
      <c r="AU970" s="9">
        <v>0</v>
      </c>
      <c r="AV970" s="9">
        <v>5</v>
      </c>
      <c r="AW970" s="9">
        <v>9</v>
      </c>
      <c r="AX970" s="9">
        <v>12</v>
      </c>
      <c r="AY970" s="9">
        <v>11</v>
      </c>
      <c r="AZ970" s="9">
        <v>56</v>
      </c>
    </row>
    <row r="971" spans="2:52">
      <c r="B971" t="str">
        <f t="shared" si="75"/>
        <v>Aug</v>
      </c>
      <c r="C971" s="43">
        <f t="shared" si="76"/>
        <v>46243</v>
      </c>
      <c r="D971" s="44">
        <f t="shared" si="77"/>
        <v>46239</v>
      </c>
      <c r="E971" s="9" t="s">
        <v>206</v>
      </c>
      <c r="F971">
        <f t="shared" si="78"/>
        <v>0</v>
      </c>
      <c r="G971">
        <f t="shared" si="74"/>
        <v>5</v>
      </c>
      <c r="AJ971" s="40">
        <v>46239</v>
      </c>
      <c r="AK971" s="9" t="s">
        <v>43</v>
      </c>
      <c r="AL971" s="9" t="s">
        <v>206</v>
      </c>
      <c r="AM971" s="9"/>
      <c r="AN971" s="9">
        <v>28</v>
      </c>
      <c r="AO971" s="9">
        <v>29</v>
      </c>
      <c r="AP971" s="9">
        <v>23</v>
      </c>
      <c r="AQ971" s="9">
        <v>23</v>
      </c>
      <c r="AR971" s="9">
        <v>25</v>
      </c>
      <c r="AS971" s="9">
        <v>34</v>
      </c>
      <c r="AT971" s="9">
        <v>38</v>
      </c>
      <c r="AU971" s="9">
        <v>32</v>
      </c>
      <c r="AV971" s="9">
        <v>0</v>
      </c>
      <c r="AW971" s="9">
        <v>0</v>
      </c>
      <c r="AX971" s="9">
        <v>10</v>
      </c>
      <c r="AY971" s="9">
        <v>11</v>
      </c>
      <c r="AZ971" s="9">
        <v>18</v>
      </c>
    </row>
    <row r="972" spans="2:52">
      <c r="B972" t="str">
        <f t="shared" si="75"/>
        <v>Aug</v>
      </c>
      <c r="C972" s="43">
        <f t="shared" si="76"/>
        <v>46243</v>
      </c>
      <c r="D972" s="44">
        <f t="shared" si="77"/>
        <v>46239</v>
      </c>
      <c r="E972" s="9" t="s">
        <v>207</v>
      </c>
      <c r="F972">
        <f t="shared" si="78"/>
        <v>0</v>
      </c>
      <c r="G972">
        <f t="shared" si="74"/>
        <v>81</v>
      </c>
      <c r="AJ972" s="40">
        <v>46239</v>
      </c>
      <c r="AK972" s="9" t="s">
        <v>203</v>
      </c>
      <c r="AL972" s="9" t="s">
        <v>207</v>
      </c>
      <c r="AM972" s="9"/>
      <c r="AN972" s="9">
        <v>62</v>
      </c>
      <c r="AO972" s="9">
        <v>92</v>
      </c>
      <c r="AP972" s="9">
        <v>45</v>
      </c>
      <c r="AQ972" s="9">
        <v>39</v>
      </c>
      <c r="AR972" s="9">
        <v>45</v>
      </c>
      <c r="AS972" s="9">
        <v>0</v>
      </c>
      <c r="AT972" s="9">
        <v>0</v>
      </c>
      <c r="AU972" s="9">
        <v>0</v>
      </c>
      <c r="AV972" s="9">
        <v>61</v>
      </c>
      <c r="AW972" s="9">
        <v>107</v>
      </c>
      <c r="AX972" s="9">
        <v>112</v>
      </c>
      <c r="AY972" s="9">
        <v>115</v>
      </c>
      <c r="AZ972" s="9">
        <v>115</v>
      </c>
    </row>
    <row r="973" spans="2:52">
      <c r="B973" t="str">
        <f t="shared" si="75"/>
        <v>Aug</v>
      </c>
      <c r="C973" s="43">
        <f t="shared" si="76"/>
        <v>46243</v>
      </c>
      <c r="D973" s="44">
        <f t="shared" si="77"/>
        <v>46239</v>
      </c>
      <c r="E973" s="9" t="s">
        <v>42</v>
      </c>
      <c r="F973">
        <f t="shared" si="78"/>
        <v>0</v>
      </c>
      <c r="G973">
        <f t="shared" si="74"/>
        <v>39</v>
      </c>
      <c r="AJ973" s="40">
        <v>46239</v>
      </c>
      <c r="AK973" s="9" t="s">
        <v>42</v>
      </c>
      <c r="AL973" s="9" t="s">
        <v>42</v>
      </c>
      <c r="AM973" s="9"/>
      <c r="AN973" s="9">
        <v>5</v>
      </c>
      <c r="AO973" s="9">
        <v>7</v>
      </c>
      <c r="AP973" s="9">
        <v>12</v>
      </c>
      <c r="AQ973" s="9">
        <v>171</v>
      </c>
      <c r="AR973" s="9">
        <v>171</v>
      </c>
      <c r="AS973" s="9">
        <v>145</v>
      </c>
      <c r="AT973" s="9">
        <v>194</v>
      </c>
      <c r="AU973" s="9">
        <v>0</v>
      </c>
      <c r="AV973" s="9">
        <v>0</v>
      </c>
      <c r="AW973" s="9">
        <v>17</v>
      </c>
      <c r="AX973" s="9">
        <v>65</v>
      </c>
      <c r="AY973" s="9">
        <v>60</v>
      </c>
      <c r="AZ973" s="9">
        <v>61</v>
      </c>
    </row>
    <row r="974" spans="2:52">
      <c r="B974" t="str">
        <f t="shared" si="75"/>
        <v>Aug</v>
      </c>
      <c r="C974" s="43">
        <f t="shared" si="76"/>
        <v>46243</v>
      </c>
      <c r="D974" s="44">
        <f t="shared" si="77"/>
        <v>46240</v>
      </c>
      <c r="E974" s="9" t="s">
        <v>31</v>
      </c>
      <c r="F974">
        <f t="shared" si="78"/>
        <v>0</v>
      </c>
      <c r="G974">
        <f t="shared" si="74"/>
        <v>50</v>
      </c>
      <c r="AJ974" s="40">
        <v>46240</v>
      </c>
      <c r="AK974" s="9" t="s">
        <v>204</v>
      </c>
      <c r="AL974" s="9" t="s">
        <v>31</v>
      </c>
      <c r="AM974" s="9"/>
      <c r="AN974" s="9">
        <v>101</v>
      </c>
      <c r="AO974" s="9">
        <v>112</v>
      </c>
      <c r="AP974" s="9">
        <v>105</v>
      </c>
      <c r="AQ974" s="9">
        <v>89</v>
      </c>
      <c r="AR974" s="9">
        <v>101</v>
      </c>
      <c r="AS974" s="9">
        <v>84</v>
      </c>
      <c r="AT974" s="9">
        <v>110</v>
      </c>
      <c r="AU974" s="9">
        <v>103</v>
      </c>
      <c r="AV974" s="9">
        <v>123</v>
      </c>
      <c r="AW974" s="9">
        <v>0</v>
      </c>
      <c r="AX974" s="9">
        <v>12</v>
      </c>
      <c r="AY974" s="9">
        <v>0</v>
      </c>
      <c r="AZ974" s="9">
        <v>69</v>
      </c>
    </row>
    <row r="975" spans="2:52">
      <c r="B975" t="str">
        <f t="shared" si="75"/>
        <v>Aug</v>
      </c>
      <c r="C975" s="43">
        <f t="shared" si="76"/>
        <v>46243</v>
      </c>
      <c r="D975" s="44">
        <f t="shared" si="77"/>
        <v>46240</v>
      </c>
      <c r="E975" s="9" t="s">
        <v>39</v>
      </c>
      <c r="F975">
        <f t="shared" si="78"/>
        <v>0</v>
      </c>
      <c r="G975">
        <f t="shared" ref="G975:G1038" si="79">SUM(H975:U975)+AZ975-AZ965</f>
        <v>14</v>
      </c>
      <c r="AJ975" s="40">
        <v>46240</v>
      </c>
      <c r="AK975" s="9" t="s">
        <v>205</v>
      </c>
      <c r="AL975" s="9" t="s">
        <v>39</v>
      </c>
      <c r="AM975" s="9"/>
      <c r="AN975" s="9">
        <v>60</v>
      </c>
      <c r="AO975" s="9">
        <v>33</v>
      </c>
      <c r="AP975" s="9">
        <v>19</v>
      </c>
      <c r="AQ975" s="9">
        <v>19</v>
      </c>
      <c r="AR975" s="9">
        <v>4</v>
      </c>
      <c r="AS975" s="9">
        <v>8</v>
      </c>
      <c r="AT975" s="9">
        <v>66</v>
      </c>
      <c r="AU975" s="9">
        <v>81</v>
      </c>
      <c r="AV975" s="9">
        <v>72</v>
      </c>
      <c r="AW975" s="9">
        <v>73</v>
      </c>
      <c r="AX975" s="9">
        <v>60</v>
      </c>
      <c r="AY975" s="9">
        <v>0</v>
      </c>
      <c r="AZ975" s="9">
        <v>42</v>
      </c>
    </row>
    <row r="976" spans="2:52">
      <c r="B976" t="str">
        <f t="shared" si="75"/>
        <v>Aug</v>
      </c>
      <c r="C976" s="43">
        <f t="shared" si="76"/>
        <v>46243</v>
      </c>
      <c r="D976" s="44">
        <f t="shared" si="77"/>
        <v>46240</v>
      </c>
      <c r="E976" s="9" t="s">
        <v>40</v>
      </c>
      <c r="F976">
        <f t="shared" si="78"/>
        <v>0</v>
      </c>
      <c r="G976">
        <f t="shared" si="79"/>
        <v>141</v>
      </c>
      <c r="AJ976" s="40">
        <v>46240</v>
      </c>
      <c r="AK976" s="9" t="s">
        <v>205</v>
      </c>
      <c r="AL976" s="9" t="s">
        <v>40</v>
      </c>
      <c r="AM976" s="9"/>
      <c r="AN976" s="9">
        <v>76</v>
      </c>
      <c r="AO976" s="9">
        <v>78</v>
      </c>
      <c r="AP976" s="9">
        <v>127</v>
      </c>
      <c r="AQ976" s="9">
        <v>138</v>
      </c>
      <c r="AR976" s="9">
        <v>135</v>
      </c>
      <c r="AS976" s="9">
        <v>136</v>
      </c>
      <c r="AT976" s="9">
        <v>133</v>
      </c>
      <c r="AU976" s="9">
        <v>134</v>
      </c>
      <c r="AV976" s="9">
        <v>146</v>
      </c>
      <c r="AW976" s="9">
        <v>141</v>
      </c>
      <c r="AX976" s="9">
        <v>152</v>
      </c>
      <c r="AY976" s="9">
        <v>148</v>
      </c>
      <c r="AZ976" s="9">
        <v>141</v>
      </c>
    </row>
    <row r="977" spans="2:52">
      <c r="B977" t="str">
        <f t="shared" si="75"/>
        <v>Aug</v>
      </c>
      <c r="C977" s="43">
        <f t="shared" si="76"/>
        <v>46243</v>
      </c>
      <c r="D977" s="44">
        <f t="shared" si="77"/>
        <v>46240</v>
      </c>
      <c r="E977" s="9" t="s">
        <v>41</v>
      </c>
      <c r="F977">
        <f t="shared" si="78"/>
        <v>0</v>
      </c>
      <c r="G977">
        <f t="shared" si="79"/>
        <v>20</v>
      </c>
      <c r="AJ977" s="40">
        <v>46240</v>
      </c>
      <c r="AK977" s="9" t="s">
        <v>41</v>
      </c>
      <c r="AL977" s="9" t="s">
        <v>41</v>
      </c>
      <c r="AM977" s="9"/>
      <c r="AN977" s="9">
        <v>23</v>
      </c>
      <c r="AO977" s="9">
        <v>28</v>
      </c>
      <c r="AP977" s="9">
        <v>0</v>
      </c>
      <c r="AQ977" s="9">
        <v>13</v>
      </c>
      <c r="AR977" s="9">
        <v>9</v>
      </c>
      <c r="AS977" s="9">
        <v>0</v>
      </c>
      <c r="AT977" s="9">
        <v>0</v>
      </c>
      <c r="AU977" s="9">
        <v>5</v>
      </c>
      <c r="AV977" s="9">
        <v>1</v>
      </c>
      <c r="AW977" s="9">
        <v>0</v>
      </c>
      <c r="AX977" s="9">
        <v>5</v>
      </c>
      <c r="AY977" s="9">
        <v>4</v>
      </c>
      <c r="AZ977" s="9">
        <v>29</v>
      </c>
    </row>
    <row r="978" spans="2:52">
      <c r="B978" t="str">
        <f t="shared" si="75"/>
        <v>Aug</v>
      </c>
      <c r="C978" s="43">
        <f t="shared" si="76"/>
        <v>46243</v>
      </c>
      <c r="D978" s="44">
        <f t="shared" si="77"/>
        <v>46240</v>
      </c>
      <c r="E978" s="9" t="s">
        <v>45</v>
      </c>
      <c r="F978">
        <f t="shared" si="78"/>
        <v>0</v>
      </c>
      <c r="G978">
        <f t="shared" si="79"/>
        <v>37</v>
      </c>
      <c r="AJ978" s="40">
        <v>46240</v>
      </c>
      <c r="AK978" s="9" t="s">
        <v>202</v>
      </c>
      <c r="AL978" s="9" t="s">
        <v>45</v>
      </c>
      <c r="AM978" s="9"/>
      <c r="AN978" s="9">
        <v>0</v>
      </c>
      <c r="AO978" s="9">
        <v>4</v>
      </c>
      <c r="AP978" s="9">
        <v>10</v>
      </c>
      <c r="AQ978" s="9">
        <v>17</v>
      </c>
      <c r="AR978" s="9">
        <v>12</v>
      </c>
      <c r="AS978" s="9">
        <v>19</v>
      </c>
      <c r="AT978" s="9">
        <v>21</v>
      </c>
      <c r="AU978" s="9">
        <v>23</v>
      </c>
      <c r="AV978" s="9">
        <v>30</v>
      </c>
      <c r="AW978" s="9">
        <v>23</v>
      </c>
      <c r="AX978" s="9">
        <v>30</v>
      </c>
      <c r="AY978" s="9">
        <v>34</v>
      </c>
      <c r="AZ978" s="9">
        <v>37</v>
      </c>
    </row>
    <row r="979" spans="2:52">
      <c r="B979" t="str">
        <f t="shared" si="75"/>
        <v>Aug</v>
      </c>
      <c r="C979" s="43">
        <f t="shared" si="76"/>
        <v>46243</v>
      </c>
      <c r="D979" s="44">
        <f t="shared" si="77"/>
        <v>46240</v>
      </c>
      <c r="E979" s="9" t="s">
        <v>46</v>
      </c>
      <c r="F979">
        <f t="shared" si="78"/>
        <v>0</v>
      </c>
      <c r="G979">
        <f t="shared" si="79"/>
        <v>20</v>
      </c>
      <c r="AJ979" s="40">
        <v>46240</v>
      </c>
      <c r="AK979" s="9" t="s">
        <v>202</v>
      </c>
      <c r="AL979" s="9" t="s">
        <v>46</v>
      </c>
      <c r="AM979" s="9"/>
      <c r="AN979" s="9">
        <v>41</v>
      </c>
      <c r="AO979" s="9">
        <v>39</v>
      </c>
      <c r="AP979" s="9">
        <v>76</v>
      </c>
      <c r="AQ979" s="9">
        <v>76</v>
      </c>
      <c r="AR979" s="9">
        <v>75</v>
      </c>
      <c r="AS979" s="9">
        <v>0</v>
      </c>
      <c r="AT979" s="9">
        <v>0</v>
      </c>
      <c r="AU979" s="9">
        <v>0</v>
      </c>
      <c r="AV979" s="9">
        <v>19</v>
      </c>
      <c r="AW979" s="9">
        <v>17</v>
      </c>
      <c r="AX979" s="9">
        <v>20</v>
      </c>
      <c r="AY979" s="9">
        <v>18</v>
      </c>
      <c r="AZ979" s="9">
        <v>20</v>
      </c>
    </row>
    <row r="980" spans="2:52">
      <c r="B980" t="str">
        <f t="shared" si="75"/>
        <v>Aug</v>
      </c>
      <c r="C980" s="43">
        <f t="shared" si="76"/>
        <v>46243</v>
      </c>
      <c r="D980" s="44">
        <f t="shared" si="77"/>
        <v>46240</v>
      </c>
      <c r="E980" s="9" t="s">
        <v>47</v>
      </c>
      <c r="F980">
        <f t="shared" si="78"/>
        <v>0</v>
      </c>
      <c r="G980">
        <f t="shared" si="79"/>
        <v>-50</v>
      </c>
      <c r="AJ980" s="40">
        <v>46240</v>
      </c>
      <c r="AK980" s="9" t="s">
        <v>202</v>
      </c>
      <c r="AL980" s="9" t="s">
        <v>47</v>
      </c>
      <c r="AM980" s="9"/>
      <c r="AN980" s="9">
        <v>4</v>
      </c>
      <c r="AO980" s="9">
        <v>4</v>
      </c>
      <c r="AP980" s="9">
        <v>7</v>
      </c>
      <c r="AQ980" s="9">
        <v>0</v>
      </c>
      <c r="AR980" s="9">
        <v>11</v>
      </c>
      <c r="AS980" s="9">
        <v>26</v>
      </c>
      <c r="AT980" s="9">
        <v>9</v>
      </c>
      <c r="AU980" s="9">
        <v>0</v>
      </c>
      <c r="AV980" s="9">
        <v>0</v>
      </c>
      <c r="AW980" s="9">
        <v>0</v>
      </c>
      <c r="AX980" s="9">
        <v>3</v>
      </c>
      <c r="AY980" s="9">
        <v>4</v>
      </c>
      <c r="AZ980" s="9">
        <v>6</v>
      </c>
    </row>
    <row r="981" spans="2:52">
      <c r="B981" t="str">
        <f t="shared" si="75"/>
        <v>Aug</v>
      </c>
      <c r="C981" s="43">
        <f t="shared" si="76"/>
        <v>46243</v>
      </c>
      <c r="D981" s="44">
        <f t="shared" si="77"/>
        <v>46240</v>
      </c>
      <c r="E981" s="9" t="s">
        <v>206</v>
      </c>
      <c r="F981">
        <f t="shared" si="78"/>
        <v>0</v>
      </c>
      <c r="G981">
        <f t="shared" si="79"/>
        <v>-15</v>
      </c>
      <c r="AJ981" s="40">
        <v>46240</v>
      </c>
      <c r="AK981" s="9" t="s">
        <v>43</v>
      </c>
      <c r="AL981" s="9" t="s">
        <v>206</v>
      </c>
      <c r="AM981" s="9"/>
      <c r="AN981" s="9">
        <v>22</v>
      </c>
      <c r="AO981" s="9">
        <v>0</v>
      </c>
      <c r="AP981" s="9">
        <v>2</v>
      </c>
      <c r="AQ981" s="9">
        <v>0</v>
      </c>
      <c r="AR981" s="9">
        <v>15</v>
      </c>
      <c r="AS981" s="9">
        <v>17</v>
      </c>
      <c r="AT981" s="9">
        <v>13</v>
      </c>
      <c r="AU981" s="9">
        <v>0</v>
      </c>
      <c r="AV981" s="9">
        <v>7</v>
      </c>
      <c r="AW981" s="9">
        <v>0</v>
      </c>
      <c r="AX981" s="9">
        <v>0</v>
      </c>
      <c r="AY981" s="9">
        <v>4</v>
      </c>
      <c r="AZ981" s="9">
        <v>3</v>
      </c>
    </row>
    <row r="982" spans="2:52">
      <c r="B982" t="str">
        <f t="shared" si="75"/>
        <v>Aug</v>
      </c>
      <c r="C982" s="43">
        <f t="shared" si="76"/>
        <v>46243</v>
      </c>
      <c r="D982" s="44">
        <f t="shared" si="77"/>
        <v>46240</v>
      </c>
      <c r="E982" s="9" t="s">
        <v>207</v>
      </c>
      <c r="F982">
        <f t="shared" si="78"/>
        <v>0</v>
      </c>
      <c r="G982">
        <f t="shared" si="79"/>
        <v>-109</v>
      </c>
      <c r="AJ982" s="40">
        <v>46240</v>
      </c>
      <c r="AK982" s="9" t="s">
        <v>203</v>
      </c>
      <c r="AL982" s="9" t="s">
        <v>207</v>
      </c>
      <c r="AM982" s="9"/>
      <c r="AN982" s="9">
        <v>11</v>
      </c>
      <c r="AO982" s="9">
        <v>0</v>
      </c>
      <c r="AP982" s="9">
        <v>1</v>
      </c>
      <c r="AQ982" s="9">
        <v>0</v>
      </c>
      <c r="AR982" s="9">
        <v>5</v>
      </c>
      <c r="AS982" s="9">
        <v>2</v>
      </c>
      <c r="AT982" s="9">
        <v>0</v>
      </c>
      <c r="AU982" s="9">
        <v>0</v>
      </c>
      <c r="AV982" s="9">
        <v>8</v>
      </c>
      <c r="AW982" s="9">
        <v>9</v>
      </c>
      <c r="AX982" s="9">
        <v>0</v>
      </c>
      <c r="AY982" s="9">
        <v>7</v>
      </c>
      <c r="AZ982" s="9">
        <v>6</v>
      </c>
    </row>
    <row r="983" spans="2:52">
      <c r="B983" t="str">
        <f t="shared" si="75"/>
        <v>Aug</v>
      </c>
      <c r="C983" s="43">
        <f t="shared" si="76"/>
        <v>46243</v>
      </c>
      <c r="D983" s="44">
        <f t="shared" si="77"/>
        <v>46240</v>
      </c>
      <c r="E983" s="9" t="s">
        <v>42</v>
      </c>
      <c r="F983">
        <f t="shared" si="78"/>
        <v>0</v>
      </c>
      <c r="G983">
        <f t="shared" si="79"/>
        <v>7</v>
      </c>
      <c r="AJ983" s="40">
        <v>46240</v>
      </c>
      <c r="AK983" s="9" t="s">
        <v>42</v>
      </c>
      <c r="AL983" s="9" t="s">
        <v>42</v>
      </c>
      <c r="AM983" s="9"/>
      <c r="AN983" s="9">
        <v>41</v>
      </c>
      <c r="AO983" s="9">
        <v>47</v>
      </c>
      <c r="AP983" s="9">
        <v>0</v>
      </c>
      <c r="AQ983" s="9">
        <v>0</v>
      </c>
      <c r="AR983" s="9">
        <v>23</v>
      </c>
      <c r="AS983" s="9">
        <v>24</v>
      </c>
      <c r="AT983" s="9">
        <v>28</v>
      </c>
      <c r="AU983" s="9">
        <v>11</v>
      </c>
      <c r="AV983" s="9">
        <v>0</v>
      </c>
      <c r="AW983" s="9">
        <v>24</v>
      </c>
      <c r="AX983" s="9">
        <v>22</v>
      </c>
      <c r="AY983" s="9">
        <v>20</v>
      </c>
      <c r="AZ983" s="9">
        <v>68</v>
      </c>
    </row>
    <row r="984" spans="2:52">
      <c r="B984" t="str">
        <f t="shared" si="75"/>
        <v>Aug</v>
      </c>
      <c r="C984" s="43">
        <f t="shared" si="76"/>
        <v>46243</v>
      </c>
      <c r="D984" s="44">
        <f t="shared" si="77"/>
        <v>46241</v>
      </c>
      <c r="E984" s="9" t="s">
        <v>31</v>
      </c>
      <c r="F984">
        <f t="shared" si="78"/>
        <v>0</v>
      </c>
      <c r="G984">
        <f t="shared" si="79"/>
        <v>-69</v>
      </c>
      <c r="AJ984" s="40">
        <v>46241</v>
      </c>
      <c r="AK984" s="9" t="s">
        <v>204</v>
      </c>
      <c r="AL984" s="9" t="s">
        <v>31</v>
      </c>
      <c r="AM984" s="9"/>
      <c r="AN984" s="9">
        <v>74</v>
      </c>
      <c r="AO984" s="9">
        <v>77</v>
      </c>
      <c r="AP984" s="9">
        <v>96</v>
      </c>
      <c r="AQ984" s="9">
        <v>100</v>
      </c>
      <c r="AR984" s="9">
        <v>106</v>
      </c>
      <c r="AS984" s="9">
        <v>110</v>
      </c>
      <c r="AT984" s="9">
        <v>189</v>
      </c>
      <c r="AU984" s="9">
        <v>140</v>
      </c>
      <c r="AV984" s="9">
        <v>159</v>
      </c>
      <c r="AW984" s="9">
        <v>240</v>
      </c>
      <c r="AX984" s="9">
        <v>234</v>
      </c>
      <c r="AY984" s="9">
        <v>225</v>
      </c>
      <c r="AZ984" s="9">
        <v>0</v>
      </c>
    </row>
    <row r="985" spans="2:52">
      <c r="B985" t="str">
        <f t="shared" si="75"/>
        <v>Aug</v>
      </c>
      <c r="C985" s="43">
        <f t="shared" si="76"/>
        <v>46243</v>
      </c>
      <c r="D985" s="44">
        <f t="shared" si="77"/>
        <v>46241</v>
      </c>
      <c r="E985" s="9" t="s">
        <v>39</v>
      </c>
      <c r="F985">
        <f t="shared" si="78"/>
        <v>0</v>
      </c>
      <c r="G985">
        <f t="shared" si="79"/>
        <v>-14</v>
      </c>
      <c r="AJ985" s="40">
        <v>46241</v>
      </c>
      <c r="AK985" s="9" t="s">
        <v>205</v>
      </c>
      <c r="AL985" s="9" t="s">
        <v>39</v>
      </c>
      <c r="AM985" s="9"/>
      <c r="AN985" s="9">
        <v>192</v>
      </c>
      <c r="AO985" s="9">
        <v>198</v>
      </c>
      <c r="AP985" s="9">
        <v>192</v>
      </c>
      <c r="AQ985" s="9">
        <v>195</v>
      </c>
      <c r="AR985" s="9">
        <v>182</v>
      </c>
      <c r="AS985" s="9">
        <v>0</v>
      </c>
      <c r="AT985" s="9">
        <v>6</v>
      </c>
      <c r="AU985" s="9">
        <v>23</v>
      </c>
      <c r="AV985" s="9">
        <v>30</v>
      </c>
      <c r="AW985" s="9">
        <v>38</v>
      </c>
      <c r="AX985" s="9">
        <v>35</v>
      </c>
      <c r="AY985" s="9">
        <v>37</v>
      </c>
      <c r="AZ985" s="9">
        <v>28</v>
      </c>
    </row>
    <row r="986" spans="2:52">
      <c r="B986" t="str">
        <f t="shared" si="75"/>
        <v>Aug</v>
      </c>
      <c r="C986" s="43">
        <f t="shared" si="76"/>
        <v>46243</v>
      </c>
      <c r="D986" s="44">
        <f t="shared" si="77"/>
        <v>46241</v>
      </c>
      <c r="E986" s="9" t="s">
        <v>40</v>
      </c>
      <c r="F986">
        <f t="shared" si="78"/>
        <v>0</v>
      </c>
      <c r="G986">
        <f t="shared" si="79"/>
        <v>-106</v>
      </c>
      <c r="AJ986" s="40">
        <v>46241</v>
      </c>
      <c r="AK986" s="9" t="s">
        <v>205</v>
      </c>
      <c r="AL986" s="9" t="s">
        <v>40</v>
      </c>
      <c r="AM986" s="9"/>
      <c r="AN986" s="9">
        <v>86</v>
      </c>
      <c r="AO986" s="9">
        <v>81</v>
      </c>
      <c r="AP986" s="9">
        <v>77</v>
      </c>
      <c r="AQ986" s="9">
        <v>238</v>
      </c>
      <c r="AR986" s="9">
        <v>240</v>
      </c>
      <c r="AS986" s="9">
        <v>234</v>
      </c>
      <c r="AT986" s="9">
        <v>203</v>
      </c>
      <c r="AU986" s="9">
        <v>0</v>
      </c>
      <c r="AV986" s="9">
        <v>41</v>
      </c>
      <c r="AW986" s="9">
        <v>35</v>
      </c>
      <c r="AX986" s="9">
        <v>33</v>
      </c>
      <c r="AY986" s="9">
        <v>34</v>
      </c>
      <c r="AZ986" s="9">
        <v>35</v>
      </c>
    </row>
    <row r="987" spans="2:52">
      <c r="B987" t="str">
        <f t="shared" si="75"/>
        <v>Aug</v>
      </c>
      <c r="C987" s="43">
        <f t="shared" si="76"/>
        <v>46243</v>
      </c>
      <c r="D987" s="44">
        <f t="shared" si="77"/>
        <v>46241</v>
      </c>
      <c r="E987" s="9" t="s">
        <v>41</v>
      </c>
      <c r="F987">
        <f t="shared" si="78"/>
        <v>0</v>
      </c>
      <c r="G987">
        <f t="shared" si="79"/>
        <v>-29</v>
      </c>
      <c r="AJ987" s="40">
        <v>46241</v>
      </c>
      <c r="AK987" s="9" t="s">
        <v>41</v>
      </c>
      <c r="AL987" s="9" t="s">
        <v>41</v>
      </c>
      <c r="AM987" s="9"/>
      <c r="AN987" s="9">
        <v>17</v>
      </c>
      <c r="AO987" s="9">
        <v>0</v>
      </c>
      <c r="AP987" s="9">
        <v>9</v>
      </c>
      <c r="AQ987" s="9">
        <v>0</v>
      </c>
      <c r="AR987" s="9">
        <v>5</v>
      </c>
      <c r="AS987" s="9">
        <v>1</v>
      </c>
      <c r="AT987" s="9">
        <v>0</v>
      </c>
      <c r="AU987" s="9">
        <v>3</v>
      </c>
      <c r="AV987" s="9">
        <v>0</v>
      </c>
      <c r="AW987" s="9">
        <v>5</v>
      </c>
      <c r="AX987" s="9">
        <v>8</v>
      </c>
      <c r="AY987" s="9">
        <v>9</v>
      </c>
      <c r="AZ987" s="9">
        <v>0</v>
      </c>
    </row>
    <row r="988" spans="2:52">
      <c r="B988" t="str">
        <f t="shared" si="75"/>
        <v>Aug</v>
      </c>
      <c r="C988" s="43">
        <f t="shared" si="76"/>
        <v>46243</v>
      </c>
      <c r="D988" s="44">
        <f t="shared" si="77"/>
        <v>46241</v>
      </c>
      <c r="E988" s="9" t="s">
        <v>45</v>
      </c>
      <c r="F988">
        <f t="shared" si="78"/>
        <v>0</v>
      </c>
      <c r="G988">
        <f t="shared" si="79"/>
        <v>-8</v>
      </c>
      <c r="AJ988" s="40">
        <v>46241</v>
      </c>
      <c r="AK988" s="9" t="s">
        <v>202</v>
      </c>
      <c r="AL988" s="9" t="s">
        <v>45</v>
      </c>
      <c r="AM988" s="9"/>
      <c r="AN988" s="9">
        <v>7</v>
      </c>
      <c r="AO988" s="9">
        <v>4</v>
      </c>
      <c r="AP988" s="9">
        <v>0</v>
      </c>
      <c r="AQ988" s="9">
        <v>0</v>
      </c>
      <c r="AR988" s="9">
        <v>26</v>
      </c>
      <c r="AS988" s="9">
        <v>23</v>
      </c>
      <c r="AT988" s="9">
        <v>0</v>
      </c>
      <c r="AU988" s="9">
        <v>0</v>
      </c>
      <c r="AV988" s="9">
        <v>30</v>
      </c>
      <c r="AW988" s="9">
        <v>0</v>
      </c>
      <c r="AX988" s="9">
        <v>28</v>
      </c>
      <c r="AY988" s="9">
        <v>31</v>
      </c>
      <c r="AZ988" s="9">
        <v>29</v>
      </c>
    </row>
    <row r="989" spans="2:52">
      <c r="B989" t="str">
        <f t="shared" si="75"/>
        <v>Aug</v>
      </c>
      <c r="C989" s="43">
        <f t="shared" si="76"/>
        <v>46243</v>
      </c>
      <c r="D989" s="44">
        <f t="shared" si="77"/>
        <v>46241</v>
      </c>
      <c r="E989" s="9" t="s">
        <v>46</v>
      </c>
      <c r="F989">
        <f t="shared" si="78"/>
        <v>0</v>
      </c>
      <c r="G989">
        <f t="shared" si="79"/>
        <v>-20</v>
      </c>
      <c r="AJ989" s="40">
        <v>46241</v>
      </c>
      <c r="AK989" s="9" t="s">
        <v>202</v>
      </c>
      <c r="AL989" s="9" t="s">
        <v>46</v>
      </c>
      <c r="AM989" s="9"/>
      <c r="AN989" s="9">
        <v>32</v>
      </c>
      <c r="AO989" s="9">
        <v>35</v>
      </c>
      <c r="AP989" s="9">
        <v>36</v>
      </c>
      <c r="AQ989" s="9">
        <v>34</v>
      </c>
      <c r="AR989" s="9">
        <v>36</v>
      </c>
      <c r="AS989" s="9">
        <v>0</v>
      </c>
      <c r="AT989" s="9">
        <v>41</v>
      </c>
      <c r="AU989" s="9">
        <v>76</v>
      </c>
      <c r="AV989" s="9">
        <v>80</v>
      </c>
      <c r="AW989" s="9">
        <v>77</v>
      </c>
      <c r="AX989" s="9">
        <v>77</v>
      </c>
      <c r="AY989" s="9">
        <v>78</v>
      </c>
      <c r="AZ989" s="9">
        <v>0</v>
      </c>
    </row>
    <row r="990" spans="2:52">
      <c r="B990" t="str">
        <f t="shared" si="75"/>
        <v>Aug</v>
      </c>
      <c r="C990" s="43">
        <f t="shared" si="76"/>
        <v>46243</v>
      </c>
      <c r="D990" s="44">
        <f t="shared" si="77"/>
        <v>46241</v>
      </c>
      <c r="E990" s="9" t="s">
        <v>47</v>
      </c>
      <c r="F990">
        <f t="shared" si="78"/>
        <v>0</v>
      </c>
      <c r="G990">
        <f t="shared" si="79"/>
        <v>36</v>
      </c>
      <c r="AJ990" s="40">
        <v>46241</v>
      </c>
      <c r="AK990" s="9" t="s">
        <v>202</v>
      </c>
      <c r="AL990" s="9" t="s">
        <v>47</v>
      </c>
      <c r="AM990" s="9"/>
      <c r="AN990" s="9">
        <v>3</v>
      </c>
      <c r="AO990" s="9">
        <v>22</v>
      </c>
      <c r="AP990" s="9">
        <v>19</v>
      </c>
      <c r="AQ990" s="9">
        <v>18</v>
      </c>
      <c r="AR990" s="9">
        <v>84</v>
      </c>
      <c r="AS990" s="9">
        <v>85</v>
      </c>
      <c r="AT990" s="9">
        <v>89</v>
      </c>
      <c r="AU990" s="9">
        <v>0</v>
      </c>
      <c r="AV990" s="9">
        <v>0</v>
      </c>
      <c r="AW990" s="9">
        <v>40</v>
      </c>
      <c r="AX990" s="9">
        <v>41</v>
      </c>
      <c r="AY990" s="9">
        <v>42</v>
      </c>
      <c r="AZ990" s="9">
        <v>42</v>
      </c>
    </row>
    <row r="991" spans="2:52">
      <c r="B991" t="str">
        <f t="shared" si="75"/>
        <v>Aug</v>
      </c>
      <c r="C991" s="43">
        <f t="shared" si="76"/>
        <v>46243</v>
      </c>
      <c r="D991" s="44">
        <f t="shared" si="77"/>
        <v>46241</v>
      </c>
      <c r="E991" s="9" t="s">
        <v>206</v>
      </c>
      <c r="F991">
        <f t="shared" si="78"/>
        <v>0</v>
      </c>
      <c r="G991">
        <f t="shared" si="79"/>
        <v>188</v>
      </c>
      <c r="AJ991" s="40">
        <v>46241</v>
      </c>
      <c r="AK991" s="9" t="s">
        <v>43</v>
      </c>
      <c r="AL991" s="9" t="s">
        <v>206</v>
      </c>
      <c r="AM991" s="9"/>
      <c r="AN991" s="9">
        <v>0</v>
      </c>
      <c r="AO991" s="9">
        <v>3</v>
      </c>
      <c r="AP991" s="9">
        <v>4</v>
      </c>
      <c r="AQ991" s="9">
        <v>0</v>
      </c>
      <c r="AR991" s="9">
        <v>2</v>
      </c>
      <c r="AS991" s="9">
        <v>4</v>
      </c>
      <c r="AT991" s="9">
        <v>11</v>
      </c>
      <c r="AU991" s="9">
        <v>7</v>
      </c>
      <c r="AV991" s="9">
        <v>40</v>
      </c>
      <c r="AW991" s="9">
        <v>44</v>
      </c>
      <c r="AX991" s="9">
        <v>152</v>
      </c>
      <c r="AY991" s="9">
        <v>178</v>
      </c>
      <c r="AZ991" s="9">
        <v>191</v>
      </c>
    </row>
    <row r="992" spans="2:52">
      <c r="B992" t="str">
        <f t="shared" si="75"/>
        <v>Aug</v>
      </c>
      <c r="C992" s="43">
        <f t="shared" si="76"/>
        <v>46243</v>
      </c>
      <c r="D992" s="44">
        <f t="shared" si="77"/>
        <v>46241</v>
      </c>
      <c r="E992" s="9" t="s">
        <v>207</v>
      </c>
      <c r="F992">
        <f t="shared" si="78"/>
        <v>0</v>
      </c>
      <c r="G992">
        <f t="shared" si="79"/>
        <v>40</v>
      </c>
      <c r="AJ992" s="40">
        <v>46241</v>
      </c>
      <c r="AK992" s="9" t="s">
        <v>203</v>
      </c>
      <c r="AL992" s="9" t="s">
        <v>207</v>
      </c>
      <c r="AM992" s="9"/>
      <c r="AN992" s="9">
        <v>37</v>
      </c>
      <c r="AO992" s="9">
        <v>76</v>
      </c>
      <c r="AP992" s="9">
        <v>107</v>
      </c>
      <c r="AQ992" s="9">
        <v>0</v>
      </c>
      <c r="AR992" s="9">
        <v>0</v>
      </c>
      <c r="AS992" s="9">
        <v>11</v>
      </c>
      <c r="AT992" s="9">
        <v>8</v>
      </c>
      <c r="AU992" s="9">
        <v>16</v>
      </c>
      <c r="AV992" s="9">
        <v>17</v>
      </c>
      <c r="AW992" s="9">
        <v>24</v>
      </c>
      <c r="AX992" s="9">
        <v>17</v>
      </c>
      <c r="AY992" s="9">
        <v>49</v>
      </c>
      <c r="AZ992" s="9">
        <v>46</v>
      </c>
    </row>
    <row r="993" spans="2:52">
      <c r="B993" t="str">
        <f t="shared" si="75"/>
        <v>Aug</v>
      </c>
      <c r="C993" s="43">
        <f t="shared" si="76"/>
        <v>46243</v>
      </c>
      <c r="D993" s="44">
        <f t="shared" si="77"/>
        <v>46241</v>
      </c>
      <c r="E993" s="9" t="s">
        <v>42</v>
      </c>
      <c r="F993">
        <f t="shared" si="78"/>
        <v>0</v>
      </c>
      <c r="G993">
        <f t="shared" si="79"/>
        <v>-63</v>
      </c>
      <c r="AJ993" s="40">
        <v>46241</v>
      </c>
      <c r="AK993" s="9" t="s">
        <v>42</v>
      </c>
      <c r="AL993" s="9" t="s">
        <v>42</v>
      </c>
      <c r="AM993" s="9"/>
      <c r="AN993" s="9">
        <v>0</v>
      </c>
      <c r="AO993" s="9">
        <v>0</v>
      </c>
      <c r="AP993" s="9">
        <v>24</v>
      </c>
      <c r="AQ993" s="9">
        <v>0</v>
      </c>
      <c r="AR993" s="9">
        <v>8</v>
      </c>
      <c r="AS993" s="9">
        <v>2</v>
      </c>
      <c r="AT993" s="9">
        <v>0</v>
      </c>
      <c r="AU993" s="9">
        <v>0</v>
      </c>
      <c r="AV993" s="9">
        <v>0</v>
      </c>
      <c r="AW993" s="9">
        <v>0</v>
      </c>
      <c r="AX993" s="9">
        <v>50</v>
      </c>
      <c r="AY993" s="9">
        <v>0</v>
      </c>
      <c r="AZ993" s="9">
        <v>5</v>
      </c>
    </row>
    <row r="994" spans="2:52">
      <c r="B994" t="str">
        <f t="shared" si="75"/>
        <v>Aug</v>
      </c>
      <c r="C994" s="43">
        <f t="shared" si="76"/>
        <v>46243</v>
      </c>
      <c r="D994" s="44">
        <f t="shared" si="77"/>
        <v>46242</v>
      </c>
      <c r="E994" s="9" t="s">
        <v>31</v>
      </c>
      <c r="F994">
        <f t="shared" si="78"/>
        <v>0</v>
      </c>
      <c r="G994">
        <f t="shared" si="79"/>
        <v>15</v>
      </c>
      <c r="AJ994" s="40">
        <v>46242</v>
      </c>
      <c r="AK994" s="9" t="s">
        <v>204</v>
      </c>
      <c r="AL994" s="9" t="s">
        <v>31</v>
      </c>
      <c r="AM994" s="9"/>
      <c r="AN994" s="9">
        <v>209</v>
      </c>
      <c r="AO994" s="9">
        <v>216</v>
      </c>
      <c r="AP994" s="9">
        <v>240</v>
      </c>
      <c r="AQ994" s="9">
        <v>226</v>
      </c>
      <c r="AR994" s="9">
        <v>240</v>
      </c>
      <c r="AS994" s="9">
        <v>0</v>
      </c>
      <c r="AT994" s="9">
        <v>23</v>
      </c>
      <c r="AU994" s="9">
        <v>0</v>
      </c>
      <c r="AV994" s="9">
        <v>10</v>
      </c>
      <c r="AW994" s="9">
        <v>9</v>
      </c>
      <c r="AX994" s="9">
        <v>0</v>
      </c>
      <c r="AY994" s="9">
        <v>5</v>
      </c>
      <c r="AZ994" s="9">
        <v>15</v>
      </c>
    </row>
    <row r="995" spans="2:52">
      <c r="B995" t="str">
        <f t="shared" si="75"/>
        <v>Aug</v>
      </c>
      <c r="C995" s="43">
        <f t="shared" si="76"/>
        <v>46243</v>
      </c>
      <c r="D995" s="44">
        <f t="shared" si="77"/>
        <v>46242</v>
      </c>
      <c r="E995" s="9" t="s">
        <v>39</v>
      </c>
      <c r="F995">
        <f t="shared" si="78"/>
        <v>0</v>
      </c>
      <c r="G995">
        <f t="shared" si="79"/>
        <v>-13</v>
      </c>
      <c r="AJ995" s="40">
        <v>46242</v>
      </c>
      <c r="AK995" s="9" t="s">
        <v>205</v>
      </c>
      <c r="AL995" s="9" t="s">
        <v>39</v>
      </c>
      <c r="AM995" s="9"/>
      <c r="AN995" s="9">
        <v>79</v>
      </c>
      <c r="AO995" s="9">
        <v>0</v>
      </c>
      <c r="AP995" s="9">
        <v>0</v>
      </c>
      <c r="AQ995" s="9">
        <v>12</v>
      </c>
      <c r="AR995" s="9">
        <v>9</v>
      </c>
      <c r="AS995" s="9">
        <v>25</v>
      </c>
      <c r="AT995" s="9">
        <v>32</v>
      </c>
      <c r="AU995" s="9">
        <v>24</v>
      </c>
      <c r="AV995" s="9">
        <v>27</v>
      </c>
      <c r="AW995" s="9">
        <v>16</v>
      </c>
      <c r="AX995" s="9">
        <v>2</v>
      </c>
      <c r="AY995" s="9">
        <v>0</v>
      </c>
      <c r="AZ995" s="9">
        <v>15</v>
      </c>
    </row>
    <row r="996" spans="2:52">
      <c r="B996" t="str">
        <f t="shared" si="75"/>
        <v>Aug</v>
      </c>
      <c r="C996" s="43">
        <f t="shared" si="76"/>
        <v>46243</v>
      </c>
      <c r="D996" s="44">
        <f t="shared" si="77"/>
        <v>46242</v>
      </c>
      <c r="E996" s="9" t="s">
        <v>40</v>
      </c>
      <c r="F996">
        <f t="shared" si="78"/>
        <v>0</v>
      </c>
      <c r="G996">
        <f t="shared" si="79"/>
        <v>16</v>
      </c>
      <c r="AJ996" s="40">
        <v>46242</v>
      </c>
      <c r="AK996" s="9" t="s">
        <v>205</v>
      </c>
      <c r="AL996" s="9" t="s">
        <v>40</v>
      </c>
      <c r="AM996" s="9"/>
      <c r="AN996" s="9">
        <v>35</v>
      </c>
      <c r="AO996" s="9">
        <v>44</v>
      </c>
      <c r="AP996" s="9">
        <v>48</v>
      </c>
      <c r="AQ996" s="9">
        <v>40</v>
      </c>
      <c r="AR996" s="9">
        <v>37</v>
      </c>
      <c r="AS996" s="9">
        <v>35</v>
      </c>
      <c r="AT996" s="9">
        <v>25</v>
      </c>
      <c r="AU996" s="9">
        <v>0</v>
      </c>
      <c r="AV996" s="9">
        <v>3</v>
      </c>
      <c r="AW996" s="9">
        <v>67</v>
      </c>
      <c r="AX996" s="9">
        <v>66</v>
      </c>
      <c r="AY996" s="9">
        <v>53</v>
      </c>
      <c r="AZ996" s="9">
        <v>51</v>
      </c>
    </row>
    <row r="997" spans="2:52">
      <c r="B997" t="str">
        <f t="shared" si="75"/>
        <v>Aug</v>
      </c>
      <c r="C997" s="43">
        <f t="shared" si="76"/>
        <v>46243</v>
      </c>
      <c r="D997" s="44">
        <f t="shared" si="77"/>
        <v>46242</v>
      </c>
      <c r="E997" s="9" t="s">
        <v>41</v>
      </c>
      <c r="F997">
        <f t="shared" si="78"/>
        <v>0</v>
      </c>
      <c r="G997">
        <f t="shared" si="79"/>
        <v>69</v>
      </c>
      <c r="AJ997" s="40">
        <v>46242</v>
      </c>
      <c r="AK997" s="9" t="s">
        <v>41</v>
      </c>
      <c r="AL997" s="9" t="s">
        <v>41</v>
      </c>
      <c r="AM997" s="9"/>
      <c r="AN997" s="9">
        <v>0</v>
      </c>
      <c r="AO997" s="9">
        <v>10</v>
      </c>
      <c r="AP997" s="9">
        <v>53</v>
      </c>
      <c r="AQ997" s="9">
        <v>18</v>
      </c>
      <c r="AR997" s="9">
        <v>16</v>
      </c>
      <c r="AS997" s="9">
        <v>13</v>
      </c>
      <c r="AT997" s="9">
        <v>10</v>
      </c>
      <c r="AU997" s="9">
        <v>34</v>
      </c>
      <c r="AV997" s="9">
        <v>35</v>
      </c>
      <c r="AW997" s="9">
        <v>37</v>
      </c>
      <c r="AX997" s="9">
        <v>38</v>
      </c>
      <c r="AY997" s="9">
        <v>67</v>
      </c>
      <c r="AZ997" s="9">
        <v>69</v>
      </c>
    </row>
    <row r="998" spans="2:52">
      <c r="B998" t="str">
        <f t="shared" si="75"/>
        <v>Aug</v>
      </c>
      <c r="C998" s="43">
        <f t="shared" si="76"/>
        <v>46243</v>
      </c>
      <c r="D998" s="44">
        <f t="shared" si="77"/>
        <v>46242</v>
      </c>
      <c r="E998" s="9" t="s">
        <v>45</v>
      </c>
      <c r="F998">
        <f t="shared" si="78"/>
        <v>0</v>
      </c>
      <c r="G998">
        <f t="shared" si="79"/>
        <v>-28</v>
      </c>
      <c r="AJ998" s="40">
        <v>46242</v>
      </c>
      <c r="AK998" s="9" t="s">
        <v>202</v>
      </c>
      <c r="AL998" s="9" t="s">
        <v>45</v>
      </c>
      <c r="AM998" s="9"/>
      <c r="AN998" s="9">
        <v>4</v>
      </c>
      <c r="AO998" s="9">
        <v>0</v>
      </c>
      <c r="AP998" s="9">
        <v>26</v>
      </c>
      <c r="AQ998" s="9">
        <v>29</v>
      </c>
      <c r="AR998" s="9">
        <v>26</v>
      </c>
      <c r="AS998" s="9">
        <v>27</v>
      </c>
      <c r="AT998" s="9">
        <v>21</v>
      </c>
      <c r="AU998" s="9">
        <v>0</v>
      </c>
      <c r="AV998" s="9">
        <v>18</v>
      </c>
      <c r="AW998" s="9">
        <v>13</v>
      </c>
      <c r="AX998" s="9">
        <v>7</v>
      </c>
      <c r="AY998" s="9">
        <v>0</v>
      </c>
      <c r="AZ998" s="9">
        <v>1</v>
      </c>
    </row>
    <row r="999" spans="2:52">
      <c r="B999" t="str">
        <f t="shared" si="75"/>
        <v>Aug</v>
      </c>
      <c r="C999" s="43">
        <f t="shared" si="76"/>
        <v>46243</v>
      </c>
      <c r="D999" s="44">
        <f t="shared" si="77"/>
        <v>46242</v>
      </c>
      <c r="E999" s="9" t="s">
        <v>46</v>
      </c>
      <c r="F999">
        <f t="shared" si="78"/>
        <v>0</v>
      </c>
      <c r="G999">
        <f t="shared" si="79"/>
        <v>0</v>
      </c>
      <c r="AJ999" s="40">
        <v>46242</v>
      </c>
      <c r="AK999" s="9" t="s">
        <v>202</v>
      </c>
      <c r="AL999" s="9" t="s">
        <v>46</v>
      </c>
      <c r="AM999" s="9"/>
      <c r="AN999" s="9">
        <v>27</v>
      </c>
      <c r="AO999" s="9">
        <v>24</v>
      </c>
      <c r="AP999" s="9">
        <v>24</v>
      </c>
      <c r="AQ999" s="9">
        <v>0</v>
      </c>
      <c r="AR999" s="9">
        <v>18</v>
      </c>
      <c r="AS999" s="9">
        <v>39</v>
      </c>
      <c r="AT999" s="9">
        <v>0</v>
      </c>
      <c r="AU999" s="9">
        <v>18</v>
      </c>
      <c r="AV999" s="9">
        <v>0</v>
      </c>
      <c r="AW999" s="9">
        <v>0</v>
      </c>
      <c r="AX999" s="9">
        <v>0</v>
      </c>
      <c r="AY999" s="9">
        <v>3</v>
      </c>
      <c r="AZ999" s="9">
        <v>0</v>
      </c>
    </row>
    <row r="1000" spans="2:52">
      <c r="B1000" t="str">
        <f t="shared" si="75"/>
        <v>Aug</v>
      </c>
      <c r="C1000" s="43">
        <f t="shared" si="76"/>
        <v>46243</v>
      </c>
      <c r="D1000" s="44">
        <f t="shared" si="77"/>
        <v>46242</v>
      </c>
      <c r="E1000" s="9" t="s">
        <v>47</v>
      </c>
      <c r="F1000">
        <f t="shared" si="78"/>
        <v>0</v>
      </c>
      <c r="G1000">
        <f t="shared" si="79"/>
        <v>42</v>
      </c>
      <c r="AJ1000" s="40">
        <v>46242</v>
      </c>
      <c r="AK1000" s="9" t="s">
        <v>202</v>
      </c>
      <c r="AL1000" s="9" t="s">
        <v>47</v>
      </c>
      <c r="AM1000" s="9"/>
      <c r="AN1000" s="9">
        <v>31</v>
      </c>
      <c r="AO1000" s="9">
        <v>32</v>
      </c>
      <c r="AP1000" s="9">
        <v>30</v>
      </c>
      <c r="AQ1000" s="9">
        <v>76</v>
      </c>
      <c r="AR1000" s="9">
        <v>121</v>
      </c>
      <c r="AS1000" s="9">
        <v>121</v>
      </c>
      <c r="AT1000" s="9">
        <v>125</v>
      </c>
      <c r="AU1000" s="9">
        <v>128</v>
      </c>
      <c r="AV1000" s="9">
        <v>124</v>
      </c>
      <c r="AW1000" s="9">
        <v>122</v>
      </c>
      <c r="AX1000" s="9">
        <v>120</v>
      </c>
      <c r="AY1000" s="9">
        <v>124</v>
      </c>
      <c r="AZ1000" s="9">
        <v>84</v>
      </c>
    </row>
    <row r="1001" spans="2:52">
      <c r="B1001" t="str">
        <f t="shared" si="75"/>
        <v>Aug</v>
      </c>
      <c r="C1001" s="43">
        <f t="shared" si="76"/>
        <v>46243</v>
      </c>
      <c r="D1001" s="44">
        <f t="shared" si="77"/>
        <v>46242</v>
      </c>
      <c r="E1001" s="9" t="s">
        <v>206</v>
      </c>
      <c r="F1001">
        <f t="shared" si="78"/>
        <v>0</v>
      </c>
      <c r="G1001">
        <f t="shared" si="79"/>
        <v>-155</v>
      </c>
      <c r="AJ1001" s="40">
        <v>46242</v>
      </c>
      <c r="AK1001" s="9" t="s">
        <v>43</v>
      </c>
      <c r="AL1001" s="9" t="s">
        <v>206</v>
      </c>
      <c r="AM1001" s="9"/>
      <c r="AN1001" s="9">
        <v>9</v>
      </c>
      <c r="AO1001" s="9">
        <v>14</v>
      </c>
      <c r="AP1001" s="9">
        <v>7</v>
      </c>
      <c r="AQ1001" s="9">
        <v>0</v>
      </c>
      <c r="AR1001" s="9">
        <v>43</v>
      </c>
      <c r="AS1001" s="9">
        <v>38</v>
      </c>
      <c r="AT1001" s="9">
        <v>36</v>
      </c>
      <c r="AU1001" s="9">
        <v>37</v>
      </c>
      <c r="AV1001" s="9">
        <v>32</v>
      </c>
      <c r="AW1001" s="9">
        <v>0</v>
      </c>
      <c r="AX1001" s="9">
        <v>0</v>
      </c>
      <c r="AY1001" s="9">
        <v>33</v>
      </c>
      <c r="AZ1001" s="9">
        <v>36</v>
      </c>
    </row>
    <row r="1002" spans="2:52">
      <c r="B1002" t="str">
        <f t="shared" si="75"/>
        <v>Aug</v>
      </c>
      <c r="C1002" s="43">
        <f t="shared" si="76"/>
        <v>46243</v>
      </c>
      <c r="D1002" s="44">
        <f t="shared" si="77"/>
        <v>46242</v>
      </c>
      <c r="E1002" s="9" t="s">
        <v>207</v>
      </c>
      <c r="F1002">
        <f t="shared" si="78"/>
        <v>0</v>
      </c>
      <c r="G1002">
        <f t="shared" si="79"/>
        <v>-29</v>
      </c>
      <c r="AJ1002" s="40">
        <v>46242</v>
      </c>
      <c r="AK1002" s="9" t="s">
        <v>203</v>
      </c>
      <c r="AL1002" s="9" t="s">
        <v>207</v>
      </c>
      <c r="AM1002" s="9"/>
      <c r="AN1002" s="9">
        <v>61</v>
      </c>
      <c r="AO1002" s="9">
        <v>0</v>
      </c>
      <c r="AP1002" s="9">
        <v>18</v>
      </c>
      <c r="AQ1002" s="9">
        <v>26</v>
      </c>
      <c r="AR1002" s="9">
        <v>0</v>
      </c>
      <c r="AS1002" s="9">
        <v>4</v>
      </c>
      <c r="AT1002" s="9">
        <v>10</v>
      </c>
      <c r="AU1002" s="9">
        <v>16</v>
      </c>
      <c r="AV1002" s="9">
        <v>25</v>
      </c>
      <c r="AW1002" s="9">
        <v>11</v>
      </c>
      <c r="AX1002" s="9">
        <v>0</v>
      </c>
      <c r="AY1002" s="9">
        <v>8</v>
      </c>
      <c r="AZ1002" s="9">
        <v>17</v>
      </c>
    </row>
    <row r="1003" spans="2:52">
      <c r="B1003" t="str">
        <f t="shared" si="75"/>
        <v>Aug</v>
      </c>
      <c r="C1003" s="43">
        <f t="shared" si="76"/>
        <v>46243</v>
      </c>
      <c r="D1003" s="44">
        <f t="shared" si="77"/>
        <v>46242</v>
      </c>
      <c r="E1003" s="9" t="s">
        <v>42</v>
      </c>
      <c r="F1003">
        <f t="shared" si="78"/>
        <v>0</v>
      </c>
      <c r="G1003">
        <f t="shared" si="79"/>
        <v>4</v>
      </c>
      <c r="AJ1003" s="40">
        <v>46242</v>
      </c>
      <c r="AK1003" s="9" t="s">
        <v>42</v>
      </c>
      <c r="AL1003" s="9" t="s">
        <v>42</v>
      </c>
      <c r="AM1003" s="9"/>
      <c r="AN1003" s="9">
        <v>7</v>
      </c>
      <c r="AO1003" s="9">
        <v>10</v>
      </c>
      <c r="AP1003" s="9">
        <v>4</v>
      </c>
      <c r="AQ1003" s="9">
        <v>3</v>
      </c>
      <c r="AR1003" s="9">
        <v>0</v>
      </c>
      <c r="AS1003" s="9">
        <v>17</v>
      </c>
      <c r="AT1003" s="9">
        <v>11</v>
      </c>
      <c r="AU1003" s="9">
        <v>7</v>
      </c>
      <c r="AV1003" s="9">
        <v>7</v>
      </c>
      <c r="AW1003" s="9">
        <v>13</v>
      </c>
      <c r="AX1003" s="9">
        <v>0</v>
      </c>
      <c r="AY1003" s="9">
        <v>14</v>
      </c>
      <c r="AZ1003" s="9">
        <v>9</v>
      </c>
    </row>
    <row r="1004" spans="2:52">
      <c r="B1004" t="str">
        <f t="shared" si="75"/>
        <v>Aug</v>
      </c>
      <c r="C1004" s="43">
        <f t="shared" si="76"/>
        <v>46250</v>
      </c>
      <c r="D1004" s="44">
        <f t="shared" si="77"/>
        <v>46243</v>
      </c>
      <c r="E1004" s="9" t="s">
        <v>31</v>
      </c>
      <c r="F1004">
        <f t="shared" si="78"/>
        <v>0</v>
      </c>
      <c r="G1004">
        <f t="shared" si="79"/>
        <v>-15</v>
      </c>
      <c r="AJ1004" s="40">
        <v>46243</v>
      </c>
      <c r="AK1004" s="9" t="s">
        <v>204</v>
      </c>
      <c r="AL1004" s="9" t="s">
        <v>31</v>
      </c>
      <c r="AM1004" s="9"/>
      <c r="AN1004" s="9">
        <v>89</v>
      </c>
      <c r="AO1004" s="9">
        <v>84</v>
      </c>
      <c r="AP1004" s="9">
        <v>73</v>
      </c>
      <c r="AQ1004" s="9">
        <v>66</v>
      </c>
      <c r="AR1004" s="9">
        <v>62</v>
      </c>
      <c r="AS1004" s="9">
        <v>130</v>
      </c>
      <c r="AT1004" s="9">
        <v>0</v>
      </c>
      <c r="AU1004" s="9">
        <v>11</v>
      </c>
      <c r="AV1004" s="9">
        <v>50</v>
      </c>
      <c r="AW1004" s="9">
        <v>108</v>
      </c>
      <c r="AX1004" s="9">
        <v>112</v>
      </c>
      <c r="AY1004" s="9">
        <v>0</v>
      </c>
      <c r="AZ1004" s="9">
        <v>0</v>
      </c>
    </row>
    <row r="1005" spans="2:52">
      <c r="B1005" t="str">
        <f t="shared" si="75"/>
        <v>Aug</v>
      </c>
      <c r="C1005" s="43">
        <f t="shared" si="76"/>
        <v>46250</v>
      </c>
      <c r="D1005" s="44">
        <f t="shared" si="77"/>
        <v>46243</v>
      </c>
      <c r="E1005" s="9" t="s">
        <v>39</v>
      </c>
      <c r="F1005">
        <f t="shared" si="78"/>
        <v>0</v>
      </c>
      <c r="G1005">
        <f t="shared" si="79"/>
        <v>-15</v>
      </c>
      <c r="AJ1005" s="40">
        <v>46243</v>
      </c>
      <c r="AK1005" s="9" t="s">
        <v>205</v>
      </c>
      <c r="AL1005" s="9" t="s">
        <v>39</v>
      </c>
      <c r="AM1005" s="9"/>
      <c r="AN1005" s="9">
        <v>82</v>
      </c>
      <c r="AO1005" s="9">
        <v>0</v>
      </c>
      <c r="AP1005" s="9">
        <v>10</v>
      </c>
      <c r="AQ1005" s="9">
        <v>7</v>
      </c>
      <c r="AR1005" s="9">
        <v>0</v>
      </c>
      <c r="AS1005" s="9">
        <v>21</v>
      </c>
      <c r="AT1005" s="9">
        <v>9</v>
      </c>
      <c r="AU1005" s="9">
        <v>8</v>
      </c>
      <c r="AV1005" s="9">
        <v>0</v>
      </c>
      <c r="AW1005" s="9">
        <v>0</v>
      </c>
      <c r="AX1005" s="9">
        <v>11</v>
      </c>
      <c r="AY1005" s="9">
        <v>25</v>
      </c>
      <c r="AZ1005" s="9">
        <v>0</v>
      </c>
    </row>
    <row r="1006" spans="2:52">
      <c r="B1006" t="str">
        <f t="shared" si="75"/>
        <v>Aug</v>
      </c>
      <c r="C1006" s="43">
        <f t="shared" si="76"/>
        <v>46250</v>
      </c>
      <c r="D1006" s="44">
        <f t="shared" si="77"/>
        <v>46243</v>
      </c>
      <c r="E1006" s="9" t="s">
        <v>40</v>
      </c>
      <c r="F1006">
        <f t="shared" si="78"/>
        <v>0</v>
      </c>
      <c r="G1006">
        <f t="shared" si="79"/>
        <v>12</v>
      </c>
      <c r="AJ1006" s="40">
        <v>46243</v>
      </c>
      <c r="AK1006" s="9" t="s">
        <v>205</v>
      </c>
      <c r="AL1006" s="9" t="s">
        <v>40</v>
      </c>
      <c r="AM1006" s="9"/>
      <c r="AN1006" s="9">
        <v>49</v>
      </c>
      <c r="AO1006" s="9">
        <v>0</v>
      </c>
      <c r="AP1006" s="9">
        <v>7</v>
      </c>
      <c r="AQ1006" s="9">
        <v>0</v>
      </c>
      <c r="AR1006" s="9">
        <v>9</v>
      </c>
      <c r="AS1006" s="9">
        <v>13</v>
      </c>
      <c r="AT1006" s="9">
        <v>0</v>
      </c>
      <c r="AU1006" s="9">
        <v>2</v>
      </c>
      <c r="AV1006" s="9">
        <v>0</v>
      </c>
      <c r="AW1006" s="9">
        <v>28</v>
      </c>
      <c r="AX1006" s="9">
        <v>0</v>
      </c>
      <c r="AY1006" s="9">
        <v>55</v>
      </c>
      <c r="AZ1006" s="9">
        <v>63</v>
      </c>
    </row>
    <row r="1007" spans="2:52">
      <c r="B1007" t="str">
        <f t="shared" si="75"/>
        <v>Aug</v>
      </c>
      <c r="C1007" s="43">
        <f t="shared" si="76"/>
        <v>46250</v>
      </c>
      <c r="D1007" s="44">
        <f t="shared" si="77"/>
        <v>46243</v>
      </c>
      <c r="E1007" s="9" t="s">
        <v>41</v>
      </c>
      <c r="F1007">
        <f t="shared" si="78"/>
        <v>0</v>
      </c>
      <c r="G1007">
        <f t="shared" si="79"/>
        <v>-60</v>
      </c>
      <c r="AJ1007" s="40">
        <v>46243</v>
      </c>
      <c r="AK1007" s="9" t="s">
        <v>41</v>
      </c>
      <c r="AL1007" s="9" t="s">
        <v>41</v>
      </c>
      <c r="AM1007" s="9"/>
      <c r="AN1007" s="9">
        <v>19</v>
      </c>
      <c r="AO1007" s="9">
        <v>22</v>
      </c>
      <c r="AP1007" s="9">
        <v>0</v>
      </c>
      <c r="AQ1007" s="9">
        <v>4</v>
      </c>
      <c r="AR1007" s="9">
        <v>8</v>
      </c>
      <c r="AS1007" s="9">
        <v>4</v>
      </c>
      <c r="AT1007" s="9">
        <v>42</v>
      </c>
      <c r="AU1007" s="9">
        <v>39</v>
      </c>
      <c r="AV1007" s="9">
        <v>35</v>
      </c>
      <c r="AW1007" s="9">
        <v>33</v>
      </c>
      <c r="AX1007" s="9">
        <v>32</v>
      </c>
      <c r="AY1007" s="9">
        <v>0</v>
      </c>
      <c r="AZ1007" s="9">
        <v>9</v>
      </c>
    </row>
    <row r="1008" spans="2:52">
      <c r="B1008" t="str">
        <f t="shared" si="75"/>
        <v>Aug</v>
      </c>
      <c r="C1008" s="43">
        <f t="shared" si="76"/>
        <v>46250</v>
      </c>
      <c r="D1008" s="44">
        <f t="shared" si="77"/>
        <v>46243</v>
      </c>
      <c r="E1008" s="9" t="s">
        <v>45</v>
      </c>
      <c r="F1008">
        <f t="shared" si="78"/>
        <v>0</v>
      </c>
      <c r="G1008">
        <f t="shared" si="79"/>
        <v>155</v>
      </c>
      <c r="AJ1008" s="40">
        <v>46243</v>
      </c>
      <c r="AK1008" s="9" t="s">
        <v>202</v>
      </c>
      <c r="AL1008" s="9" t="s">
        <v>45</v>
      </c>
      <c r="AM1008" s="9"/>
      <c r="AN1008" s="9">
        <v>0</v>
      </c>
      <c r="AO1008" s="9">
        <v>0</v>
      </c>
      <c r="AP1008" s="9">
        <v>0</v>
      </c>
      <c r="AQ1008" s="9">
        <v>0</v>
      </c>
      <c r="AR1008" s="9">
        <v>0</v>
      </c>
      <c r="AS1008" s="9">
        <v>28</v>
      </c>
      <c r="AT1008" s="9">
        <v>33</v>
      </c>
      <c r="AU1008" s="9">
        <v>27</v>
      </c>
      <c r="AV1008" s="9">
        <v>33</v>
      </c>
      <c r="AW1008" s="9">
        <v>161</v>
      </c>
      <c r="AX1008" s="9">
        <v>160</v>
      </c>
      <c r="AY1008" s="9">
        <v>159</v>
      </c>
      <c r="AZ1008" s="9">
        <v>156</v>
      </c>
    </row>
    <row r="1009" spans="2:52">
      <c r="B1009" t="str">
        <f t="shared" si="75"/>
        <v>Aug</v>
      </c>
      <c r="C1009" s="43">
        <f t="shared" si="76"/>
        <v>46250</v>
      </c>
      <c r="D1009" s="44">
        <f t="shared" si="77"/>
        <v>46243</v>
      </c>
      <c r="E1009" s="9" t="s">
        <v>46</v>
      </c>
      <c r="F1009">
        <f t="shared" si="78"/>
        <v>0</v>
      </c>
      <c r="G1009">
        <f t="shared" si="79"/>
        <v>8</v>
      </c>
      <c r="AJ1009" s="40">
        <v>46243</v>
      </c>
      <c r="AK1009" s="9" t="s">
        <v>202</v>
      </c>
      <c r="AL1009" s="9" t="s">
        <v>46</v>
      </c>
      <c r="AM1009" s="9"/>
      <c r="AN1009" s="9">
        <v>0</v>
      </c>
      <c r="AO1009" s="9">
        <v>0</v>
      </c>
      <c r="AP1009" s="9">
        <v>0</v>
      </c>
      <c r="AQ1009" s="9">
        <v>8</v>
      </c>
      <c r="AR1009" s="9">
        <v>6</v>
      </c>
      <c r="AS1009" s="9">
        <v>0</v>
      </c>
      <c r="AT1009" s="9">
        <v>35</v>
      </c>
      <c r="AU1009" s="9">
        <v>0</v>
      </c>
      <c r="AV1009" s="9">
        <v>7</v>
      </c>
      <c r="AW1009" s="9">
        <v>6</v>
      </c>
      <c r="AX1009" s="9">
        <v>4</v>
      </c>
      <c r="AY1009" s="9">
        <v>8</v>
      </c>
      <c r="AZ1009" s="9">
        <v>8</v>
      </c>
    </row>
    <row r="1010" spans="2:52">
      <c r="B1010" t="str">
        <f t="shared" si="75"/>
        <v>Aug</v>
      </c>
      <c r="C1010" s="43">
        <f t="shared" si="76"/>
        <v>46250</v>
      </c>
      <c r="D1010" s="44">
        <f t="shared" si="77"/>
        <v>46243</v>
      </c>
      <c r="E1010" s="9" t="s">
        <v>47</v>
      </c>
      <c r="F1010">
        <f t="shared" si="78"/>
        <v>0</v>
      </c>
      <c r="G1010">
        <f t="shared" si="79"/>
        <v>-53</v>
      </c>
      <c r="AJ1010" s="40">
        <v>46243</v>
      </c>
      <c r="AK1010" s="9" t="s">
        <v>202</v>
      </c>
      <c r="AL1010" s="9" t="s">
        <v>47</v>
      </c>
      <c r="AM1010" s="9"/>
      <c r="AN1010" s="9">
        <v>28</v>
      </c>
      <c r="AO1010" s="9">
        <v>29</v>
      </c>
      <c r="AP1010" s="9">
        <v>34</v>
      </c>
      <c r="AQ1010" s="9">
        <v>90</v>
      </c>
      <c r="AR1010" s="9">
        <v>89</v>
      </c>
      <c r="AS1010" s="9">
        <v>86</v>
      </c>
      <c r="AT1010" s="9">
        <v>0</v>
      </c>
      <c r="AU1010" s="9">
        <v>12</v>
      </c>
      <c r="AV1010" s="9">
        <v>14</v>
      </c>
      <c r="AW1010" s="9">
        <v>18</v>
      </c>
      <c r="AX1010" s="9">
        <v>21</v>
      </c>
      <c r="AY1010" s="9">
        <v>26</v>
      </c>
      <c r="AZ1010" s="9">
        <v>31</v>
      </c>
    </row>
    <row r="1011" spans="2:52">
      <c r="B1011" t="str">
        <f t="shared" si="75"/>
        <v>Aug</v>
      </c>
      <c r="C1011" s="43">
        <f t="shared" si="76"/>
        <v>46250</v>
      </c>
      <c r="D1011" s="44">
        <f t="shared" si="77"/>
        <v>46243</v>
      </c>
      <c r="E1011" s="9" t="s">
        <v>206</v>
      </c>
      <c r="F1011">
        <f t="shared" si="78"/>
        <v>0</v>
      </c>
      <c r="G1011">
        <f t="shared" si="79"/>
        <v>29</v>
      </c>
      <c r="AJ1011" s="40">
        <v>46243</v>
      </c>
      <c r="AK1011" s="9" t="s">
        <v>43</v>
      </c>
      <c r="AL1011" s="9" t="s">
        <v>206</v>
      </c>
      <c r="AM1011" s="9"/>
      <c r="AN1011" s="9">
        <v>61</v>
      </c>
      <c r="AO1011" s="9">
        <v>0</v>
      </c>
      <c r="AP1011" s="9">
        <v>0</v>
      </c>
      <c r="AQ1011" s="9">
        <v>20</v>
      </c>
      <c r="AR1011" s="9">
        <v>0</v>
      </c>
      <c r="AS1011" s="9">
        <v>0</v>
      </c>
      <c r="AT1011" s="9">
        <v>13</v>
      </c>
      <c r="AU1011" s="9">
        <v>19</v>
      </c>
      <c r="AV1011" s="9">
        <v>22</v>
      </c>
      <c r="AW1011" s="9">
        <v>15</v>
      </c>
      <c r="AX1011" s="9">
        <v>15</v>
      </c>
      <c r="AY1011" s="9">
        <v>18</v>
      </c>
      <c r="AZ1011" s="9">
        <v>65</v>
      </c>
    </row>
    <row r="1012" spans="2:52">
      <c r="B1012" t="str">
        <f t="shared" si="75"/>
        <v>Aug</v>
      </c>
      <c r="C1012" s="43">
        <f t="shared" si="76"/>
        <v>46250</v>
      </c>
      <c r="D1012" s="44">
        <f t="shared" si="77"/>
        <v>46243</v>
      </c>
      <c r="E1012" s="9" t="s">
        <v>207</v>
      </c>
      <c r="F1012">
        <f t="shared" si="78"/>
        <v>0</v>
      </c>
      <c r="G1012">
        <f t="shared" si="79"/>
        <v>-11</v>
      </c>
      <c r="AJ1012" s="40">
        <v>46243</v>
      </c>
      <c r="AK1012" s="9" t="s">
        <v>203</v>
      </c>
      <c r="AL1012" s="9" t="s">
        <v>207</v>
      </c>
      <c r="AM1012" s="9"/>
      <c r="AN1012" s="9">
        <v>67</v>
      </c>
      <c r="AO1012" s="9">
        <v>0</v>
      </c>
      <c r="AP1012" s="9">
        <v>0</v>
      </c>
      <c r="AQ1012" s="9">
        <v>7</v>
      </c>
      <c r="AR1012" s="9">
        <v>0</v>
      </c>
      <c r="AS1012" s="9">
        <v>20</v>
      </c>
      <c r="AT1012" s="9">
        <v>0</v>
      </c>
      <c r="AU1012" s="9">
        <v>0</v>
      </c>
      <c r="AV1012" s="9">
        <v>1</v>
      </c>
      <c r="AW1012" s="9">
        <v>0</v>
      </c>
      <c r="AX1012" s="9">
        <v>0</v>
      </c>
      <c r="AY1012" s="9">
        <v>8</v>
      </c>
      <c r="AZ1012" s="9">
        <v>6</v>
      </c>
    </row>
    <row r="1013" spans="2:52">
      <c r="B1013" t="str">
        <f t="shared" si="75"/>
        <v>Aug</v>
      </c>
      <c r="C1013" s="43">
        <f t="shared" si="76"/>
        <v>46250</v>
      </c>
      <c r="D1013" s="44">
        <f t="shared" si="77"/>
        <v>46243</v>
      </c>
      <c r="E1013" s="9" t="s">
        <v>42</v>
      </c>
      <c r="F1013">
        <f t="shared" si="78"/>
        <v>0</v>
      </c>
      <c r="G1013">
        <f t="shared" si="79"/>
        <v>-9</v>
      </c>
      <c r="AJ1013" s="40">
        <v>46243</v>
      </c>
      <c r="AK1013" s="9" t="s">
        <v>42</v>
      </c>
      <c r="AL1013" s="9" t="s">
        <v>42</v>
      </c>
      <c r="AM1013" s="9"/>
      <c r="AN1013" s="9">
        <v>27</v>
      </c>
      <c r="AO1013" s="9">
        <v>63</v>
      </c>
      <c r="AP1013" s="9">
        <v>62</v>
      </c>
      <c r="AQ1013" s="9">
        <v>59</v>
      </c>
      <c r="AR1013" s="9">
        <v>41</v>
      </c>
      <c r="AS1013" s="9">
        <v>0</v>
      </c>
      <c r="AT1013" s="9">
        <v>8</v>
      </c>
      <c r="AU1013" s="9">
        <v>15</v>
      </c>
      <c r="AV1013" s="9">
        <v>0</v>
      </c>
      <c r="AW1013" s="9">
        <v>0</v>
      </c>
      <c r="AX1013" s="9">
        <v>13</v>
      </c>
      <c r="AY1013" s="9">
        <v>17</v>
      </c>
      <c r="AZ1013" s="9">
        <v>0</v>
      </c>
    </row>
    <row r="1014" spans="2:52">
      <c r="B1014" t="str">
        <f t="shared" si="75"/>
        <v>Aug</v>
      </c>
      <c r="C1014" s="43">
        <f t="shared" si="76"/>
        <v>46250</v>
      </c>
      <c r="D1014" s="44">
        <f t="shared" si="77"/>
        <v>46244</v>
      </c>
      <c r="E1014" s="9" t="s">
        <v>31</v>
      </c>
      <c r="F1014">
        <f t="shared" si="78"/>
        <v>0</v>
      </c>
      <c r="G1014">
        <f t="shared" si="79"/>
        <v>0</v>
      </c>
      <c r="AJ1014" s="40">
        <v>46244</v>
      </c>
      <c r="AK1014" s="9" t="s">
        <v>204</v>
      </c>
      <c r="AL1014" s="9" t="s">
        <v>31</v>
      </c>
      <c r="AM1014" s="9"/>
      <c r="AN1014" s="9">
        <v>98</v>
      </c>
      <c r="AO1014" s="9">
        <v>0</v>
      </c>
      <c r="AP1014" s="9">
        <v>0</v>
      </c>
      <c r="AQ1014" s="9">
        <v>0</v>
      </c>
      <c r="AR1014" s="9">
        <v>16</v>
      </c>
      <c r="AS1014" s="9">
        <v>35</v>
      </c>
      <c r="AT1014" s="9">
        <v>35</v>
      </c>
      <c r="AU1014" s="9">
        <v>35</v>
      </c>
      <c r="AV1014" s="9">
        <v>18</v>
      </c>
      <c r="AW1014" s="9">
        <v>17</v>
      </c>
      <c r="AX1014" s="9">
        <v>35</v>
      </c>
      <c r="AY1014" s="9">
        <v>40</v>
      </c>
      <c r="AZ1014" s="9">
        <v>0</v>
      </c>
    </row>
    <row r="1015" spans="2:52">
      <c r="B1015" t="str">
        <f t="shared" si="75"/>
        <v>Aug</v>
      </c>
      <c r="C1015" s="43">
        <f t="shared" si="76"/>
        <v>46250</v>
      </c>
      <c r="D1015" s="44">
        <f t="shared" si="77"/>
        <v>46244</v>
      </c>
      <c r="E1015" s="9" t="s">
        <v>39</v>
      </c>
      <c r="F1015">
        <f t="shared" si="78"/>
        <v>0</v>
      </c>
      <c r="G1015">
        <f t="shared" si="79"/>
        <v>101</v>
      </c>
      <c r="AJ1015" s="40">
        <v>46244</v>
      </c>
      <c r="AK1015" s="9" t="s">
        <v>205</v>
      </c>
      <c r="AL1015" s="9" t="s">
        <v>39</v>
      </c>
      <c r="AM1015" s="9"/>
      <c r="AN1015" s="9">
        <v>66</v>
      </c>
      <c r="AO1015" s="9">
        <v>68</v>
      </c>
      <c r="AP1015" s="9">
        <v>40</v>
      </c>
      <c r="AQ1015" s="9">
        <v>4</v>
      </c>
      <c r="AR1015" s="9">
        <v>35</v>
      </c>
      <c r="AS1015" s="9">
        <v>33</v>
      </c>
      <c r="AT1015" s="9">
        <v>62</v>
      </c>
      <c r="AU1015" s="9">
        <v>134</v>
      </c>
      <c r="AV1015" s="9">
        <v>144</v>
      </c>
      <c r="AW1015" s="9">
        <v>142</v>
      </c>
      <c r="AX1015" s="9">
        <v>127</v>
      </c>
      <c r="AY1015" s="9">
        <v>115</v>
      </c>
      <c r="AZ1015" s="9">
        <v>101</v>
      </c>
    </row>
    <row r="1016" spans="2:52">
      <c r="B1016" t="str">
        <f t="shared" si="75"/>
        <v>Aug</v>
      </c>
      <c r="C1016" s="43">
        <f t="shared" si="76"/>
        <v>46250</v>
      </c>
      <c r="D1016" s="44">
        <f t="shared" si="77"/>
        <v>46244</v>
      </c>
      <c r="E1016" s="9" t="s">
        <v>40</v>
      </c>
      <c r="F1016">
        <f t="shared" si="78"/>
        <v>0</v>
      </c>
      <c r="G1016">
        <f t="shared" si="79"/>
        <v>132</v>
      </c>
      <c r="AJ1016" s="40">
        <v>46244</v>
      </c>
      <c r="AK1016" s="9" t="s">
        <v>205</v>
      </c>
      <c r="AL1016" s="9" t="s">
        <v>40</v>
      </c>
      <c r="AM1016" s="9"/>
      <c r="AN1016" s="9">
        <v>0</v>
      </c>
      <c r="AO1016" s="9">
        <v>2</v>
      </c>
      <c r="AP1016" s="9">
        <v>0</v>
      </c>
      <c r="AQ1016" s="9">
        <v>27</v>
      </c>
      <c r="AR1016" s="9">
        <v>26</v>
      </c>
      <c r="AS1016" s="9">
        <v>32</v>
      </c>
      <c r="AT1016" s="9">
        <v>43</v>
      </c>
      <c r="AU1016" s="9">
        <v>10</v>
      </c>
      <c r="AV1016" s="9">
        <v>12</v>
      </c>
      <c r="AW1016" s="9">
        <v>42</v>
      </c>
      <c r="AX1016" s="9">
        <v>200</v>
      </c>
      <c r="AY1016" s="9">
        <v>200</v>
      </c>
      <c r="AZ1016" s="9">
        <v>195</v>
      </c>
    </row>
    <row r="1017" spans="2:52">
      <c r="B1017" t="str">
        <f t="shared" si="75"/>
        <v>Aug</v>
      </c>
      <c r="C1017" s="43">
        <f t="shared" si="76"/>
        <v>46250</v>
      </c>
      <c r="D1017" s="44">
        <f t="shared" si="77"/>
        <v>46244</v>
      </c>
      <c r="E1017" s="9" t="s">
        <v>41</v>
      </c>
      <c r="F1017">
        <f t="shared" si="78"/>
        <v>0</v>
      </c>
      <c r="G1017">
        <f t="shared" si="79"/>
        <v>1</v>
      </c>
      <c r="AJ1017" s="40">
        <v>46244</v>
      </c>
      <c r="AK1017" s="9" t="s">
        <v>41</v>
      </c>
      <c r="AL1017" s="9" t="s">
        <v>41</v>
      </c>
      <c r="AM1017" s="9"/>
      <c r="AN1017" s="9">
        <v>37</v>
      </c>
      <c r="AO1017" s="9">
        <v>42</v>
      </c>
      <c r="AP1017" s="9">
        <v>0</v>
      </c>
      <c r="AQ1017" s="9">
        <v>2</v>
      </c>
      <c r="AR1017" s="9">
        <v>0</v>
      </c>
      <c r="AS1017" s="9">
        <v>2</v>
      </c>
      <c r="AT1017" s="9">
        <v>0</v>
      </c>
      <c r="AU1017" s="9">
        <v>0</v>
      </c>
      <c r="AV1017" s="9">
        <v>11</v>
      </c>
      <c r="AW1017" s="9">
        <v>7</v>
      </c>
      <c r="AX1017" s="9">
        <v>3</v>
      </c>
      <c r="AY1017" s="9">
        <v>7</v>
      </c>
      <c r="AZ1017" s="9">
        <v>10</v>
      </c>
    </row>
    <row r="1018" spans="2:52">
      <c r="B1018" t="str">
        <f t="shared" si="75"/>
        <v>Aug</v>
      </c>
      <c r="C1018" s="43">
        <f t="shared" si="76"/>
        <v>46250</v>
      </c>
      <c r="D1018" s="44">
        <f t="shared" si="77"/>
        <v>46244</v>
      </c>
      <c r="E1018" s="9" t="s">
        <v>45</v>
      </c>
      <c r="F1018">
        <f t="shared" si="78"/>
        <v>0</v>
      </c>
      <c r="G1018">
        <f t="shared" si="79"/>
        <v>-46</v>
      </c>
      <c r="AJ1018" s="40">
        <v>46244</v>
      </c>
      <c r="AK1018" s="9" t="s">
        <v>202</v>
      </c>
      <c r="AL1018" s="9" t="s">
        <v>45</v>
      </c>
      <c r="AM1018" s="9"/>
      <c r="AN1018" s="9">
        <v>0</v>
      </c>
      <c r="AO1018" s="9">
        <v>27</v>
      </c>
      <c r="AP1018" s="9">
        <v>31</v>
      </c>
      <c r="AQ1018" s="9">
        <v>0</v>
      </c>
      <c r="AR1018" s="9">
        <v>9</v>
      </c>
      <c r="AS1018" s="9">
        <v>13</v>
      </c>
      <c r="AT1018" s="9">
        <v>13</v>
      </c>
      <c r="AU1018" s="9">
        <v>12</v>
      </c>
      <c r="AV1018" s="9">
        <v>14</v>
      </c>
      <c r="AW1018" s="9">
        <v>12</v>
      </c>
      <c r="AX1018" s="9">
        <v>13</v>
      </c>
      <c r="AY1018" s="9">
        <v>6</v>
      </c>
      <c r="AZ1018" s="9">
        <v>110</v>
      </c>
    </row>
    <row r="1019" spans="2:52">
      <c r="B1019" t="str">
        <f t="shared" si="75"/>
        <v>Aug</v>
      </c>
      <c r="C1019" s="43">
        <f t="shared" si="76"/>
        <v>46250</v>
      </c>
      <c r="D1019" s="44">
        <f t="shared" si="77"/>
        <v>46244</v>
      </c>
      <c r="E1019" s="9" t="s">
        <v>46</v>
      </c>
      <c r="F1019">
        <f t="shared" si="78"/>
        <v>0</v>
      </c>
      <c r="G1019">
        <f t="shared" si="79"/>
        <v>63</v>
      </c>
      <c r="AJ1019" s="40">
        <v>46244</v>
      </c>
      <c r="AK1019" s="9" t="s">
        <v>202</v>
      </c>
      <c r="AL1019" s="9" t="s">
        <v>46</v>
      </c>
      <c r="AM1019" s="9"/>
      <c r="AN1019" s="9">
        <v>2</v>
      </c>
      <c r="AO1019" s="9">
        <v>7</v>
      </c>
      <c r="AP1019" s="9">
        <v>5</v>
      </c>
      <c r="AQ1019" s="9">
        <v>1</v>
      </c>
      <c r="AR1019" s="9">
        <v>5</v>
      </c>
      <c r="AS1019" s="9">
        <v>1</v>
      </c>
      <c r="AT1019" s="9">
        <v>1</v>
      </c>
      <c r="AU1019" s="9">
        <v>62</v>
      </c>
      <c r="AV1019" s="9">
        <v>67</v>
      </c>
      <c r="AW1019" s="9">
        <v>65</v>
      </c>
      <c r="AX1019" s="9">
        <v>67</v>
      </c>
      <c r="AY1019" s="9">
        <v>72</v>
      </c>
      <c r="AZ1019" s="9">
        <v>71</v>
      </c>
    </row>
    <row r="1020" spans="2:52">
      <c r="B1020" t="str">
        <f t="shared" si="75"/>
        <v>Aug</v>
      </c>
      <c r="C1020" s="43">
        <f t="shared" si="76"/>
        <v>46250</v>
      </c>
      <c r="D1020" s="44">
        <f t="shared" si="77"/>
        <v>46244</v>
      </c>
      <c r="E1020" s="9" t="s">
        <v>47</v>
      </c>
      <c r="F1020">
        <f t="shared" si="78"/>
        <v>0</v>
      </c>
      <c r="G1020">
        <f t="shared" si="79"/>
        <v>-28</v>
      </c>
      <c r="AJ1020" s="40">
        <v>46244</v>
      </c>
      <c r="AK1020" s="9" t="s">
        <v>202</v>
      </c>
      <c r="AL1020" s="9" t="s">
        <v>47</v>
      </c>
      <c r="AM1020" s="9"/>
      <c r="AN1020" s="9">
        <v>0</v>
      </c>
      <c r="AO1020" s="9">
        <v>10</v>
      </c>
      <c r="AP1020" s="9">
        <v>100</v>
      </c>
      <c r="AQ1020" s="9">
        <v>101</v>
      </c>
      <c r="AR1020" s="9">
        <v>105</v>
      </c>
      <c r="AS1020" s="9">
        <v>126</v>
      </c>
      <c r="AT1020" s="9">
        <v>122</v>
      </c>
      <c r="AU1020" s="9">
        <v>118</v>
      </c>
      <c r="AV1020" s="9">
        <v>116</v>
      </c>
      <c r="AW1020" s="9">
        <v>116</v>
      </c>
      <c r="AX1020" s="9">
        <v>116</v>
      </c>
      <c r="AY1020" s="9">
        <v>0</v>
      </c>
      <c r="AZ1020" s="9">
        <v>3</v>
      </c>
    </row>
    <row r="1021" spans="2:52">
      <c r="B1021" t="str">
        <f t="shared" si="75"/>
        <v>Aug</v>
      </c>
      <c r="C1021" s="43">
        <f t="shared" si="76"/>
        <v>46250</v>
      </c>
      <c r="D1021" s="44">
        <f t="shared" si="77"/>
        <v>46244</v>
      </c>
      <c r="E1021" s="9" t="s">
        <v>206</v>
      </c>
      <c r="F1021">
        <f t="shared" si="78"/>
        <v>0</v>
      </c>
      <c r="G1021">
        <f t="shared" si="79"/>
        <v>34</v>
      </c>
      <c r="AJ1021" s="40">
        <v>46244</v>
      </c>
      <c r="AK1021" s="9" t="s">
        <v>43</v>
      </c>
      <c r="AL1021" s="9" t="s">
        <v>206</v>
      </c>
      <c r="AM1021" s="9"/>
      <c r="AN1021" s="9">
        <v>0</v>
      </c>
      <c r="AO1021" s="9">
        <v>22</v>
      </c>
      <c r="AP1021" s="9">
        <v>28</v>
      </c>
      <c r="AQ1021" s="9">
        <v>18</v>
      </c>
      <c r="AR1021" s="9">
        <v>16</v>
      </c>
      <c r="AS1021" s="9">
        <v>17</v>
      </c>
      <c r="AT1021" s="9">
        <v>16</v>
      </c>
      <c r="AU1021" s="9">
        <v>35</v>
      </c>
      <c r="AV1021" s="9">
        <v>41</v>
      </c>
      <c r="AW1021" s="9">
        <v>42</v>
      </c>
      <c r="AX1021" s="9">
        <v>102</v>
      </c>
      <c r="AY1021" s="9">
        <v>100</v>
      </c>
      <c r="AZ1021" s="9">
        <v>99</v>
      </c>
    </row>
    <row r="1022" spans="2:52">
      <c r="B1022" t="str">
        <f t="shared" si="75"/>
        <v>Aug</v>
      </c>
      <c r="C1022" s="43">
        <f t="shared" si="76"/>
        <v>46250</v>
      </c>
      <c r="D1022" s="44">
        <f t="shared" si="77"/>
        <v>46244</v>
      </c>
      <c r="E1022" s="9" t="s">
        <v>207</v>
      </c>
      <c r="F1022">
        <f t="shared" si="78"/>
        <v>0</v>
      </c>
      <c r="G1022">
        <f t="shared" si="79"/>
        <v>59</v>
      </c>
      <c r="AJ1022" s="40">
        <v>46244</v>
      </c>
      <c r="AK1022" s="9" t="s">
        <v>203</v>
      </c>
      <c r="AL1022" s="9" t="s">
        <v>207</v>
      </c>
      <c r="AM1022" s="9"/>
      <c r="AN1022" s="9">
        <v>45</v>
      </c>
      <c r="AO1022" s="9">
        <v>43</v>
      </c>
      <c r="AP1022" s="9">
        <v>36</v>
      </c>
      <c r="AQ1022" s="9">
        <v>31</v>
      </c>
      <c r="AR1022" s="9">
        <v>26</v>
      </c>
      <c r="AS1022" s="9">
        <v>20</v>
      </c>
      <c r="AT1022" s="9">
        <v>15</v>
      </c>
      <c r="AU1022" s="9">
        <v>20</v>
      </c>
      <c r="AV1022" s="9">
        <v>15</v>
      </c>
      <c r="AW1022" s="9">
        <v>15</v>
      </c>
      <c r="AX1022" s="9">
        <v>8</v>
      </c>
      <c r="AY1022" s="9">
        <v>6</v>
      </c>
      <c r="AZ1022" s="9">
        <v>65</v>
      </c>
    </row>
    <row r="1023" spans="2:52">
      <c r="B1023" t="str">
        <f t="shared" si="75"/>
        <v>Aug</v>
      </c>
      <c r="C1023" s="43">
        <f t="shared" si="76"/>
        <v>46250</v>
      </c>
      <c r="D1023" s="44">
        <f t="shared" si="77"/>
        <v>46244</v>
      </c>
      <c r="E1023" s="9" t="s">
        <v>42</v>
      </c>
      <c r="F1023">
        <f t="shared" si="78"/>
        <v>0</v>
      </c>
      <c r="G1023">
        <f t="shared" si="79"/>
        <v>25</v>
      </c>
      <c r="AJ1023" s="40">
        <v>46244</v>
      </c>
      <c r="AK1023" s="9" t="s">
        <v>42</v>
      </c>
      <c r="AL1023" s="9" t="s">
        <v>42</v>
      </c>
      <c r="AM1023" s="9"/>
      <c r="AN1023" s="9">
        <v>1</v>
      </c>
      <c r="AO1023" s="9">
        <v>0</v>
      </c>
      <c r="AP1023" s="9">
        <v>5</v>
      </c>
      <c r="AQ1023" s="9">
        <v>6</v>
      </c>
      <c r="AR1023" s="9">
        <v>7</v>
      </c>
      <c r="AS1023" s="9">
        <v>3</v>
      </c>
      <c r="AT1023" s="9">
        <v>3</v>
      </c>
      <c r="AU1023" s="9">
        <v>0</v>
      </c>
      <c r="AV1023" s="9">
        <v>25</v>
      </c>
      <c r="AW1023" s="9">
        <v>0</v>
      </c>
      <c r="AX1023" s="9">
        <v>25</v>
      </c>
      <c r="AY1023" s="9">
        <v>23</v>
      </c>
      <c r="AZ1023" s="9">
        <v>25</v>
      </c>
    </row>
    <row r="1024" spans="2:52">
      <c r="B1024" t="str">
        <f t="shared" si="75"/>
        <v>Aug</v>
      </c>
      <c r="C1024" s="43">
        <f t="shared" si="76"/>
        <v>46250</v>
      </c>
      <c r="D1024" s="44">
        <f t="shared" si="77"/>
        <v>46245</v>
      </c>
      <c r="E1024" s="9" t="s">
        <v>31</v>
      </c>
      <c r="F1024">
        <f t="shared" si="78"/>
        <v>0</v>
      </c>
      <c r="G1024">
        <f t="shared" si="79"/>
        <v>29</v>
      </c>
      <c r="AJ1024" s="40">
        <v>46245</v>
      </c>
      <c r="AK1024" s="9" t="s">
        <v>204</v>
      </c>
      <c r="AL1024" s="9" t="s">
        <v>31</v>
      </c>
      <c r="AM1024" s="9"/>
      <c r="AN1024" s="9">
        <v>0</v>
      </c>
      <c r="AO1024" s="9">
        <v>44</v>
      </c>
      <c r="AP1024" s="9">
        <v>33</v>
      </c>
      <c r="AQ1024" s="9">
        <v>23</v>
      </c>
      <c r="AR1024" s="9">
        <v>29</v>
      </c>
      <c r="AS1024" s="9">
        <v>21</v>
      </c>
      <c r="AT1024" s="9">
        <v>15</v>
      </c>
      <c r="AU1024" s="9">
        <v>0</v>
      </c>
      <c r="AV1024" s="9">
        <v>41</v>
      </c>
      <c r="AW1024" s="9">
        <v>31</v>
      </c>
      <c r="AX1024" s="9">
        <v>23</v>
      </c>
      <c r="AY1024" s="9">
        <v>8</v>
      </c>
      <c r="AZ1024" s="9">
        <v>29</v>
      </c>
    </row>
    <row r="1025" spans="2:52">
      <c r="B1025" t="str">
        <f t="shared" si="75"/>
        <v>Aug</v>
      </c>
      <c r="C1025" s="43">
        <f t="shared" si="76"/>
        <v>46250</v>
      </c>
      <c r="D1025" s="44">
        <f t="shared" si="77"/>
        <v>46245</v>
      </c>
      <c r="E1025" s="9" t="s">
        <v>39</v>
      </c>
      <c r="F1025">
        <f t="shared" si="78"/>
        <v>0</v>
      </c>
      <c r="G1025">
        <f t="shared" si="79"/>
        <v>-101</v>
      </c>
      <c r="AJ1025" s="40">
        <v>46245</v>
      </c>
      <c r="AK1025" s="9" t="s">
        <v>205</v>
      </c>
      <c r="AL1025" s="9" t="s">
        <v>39</v>
      </c>
      <c r="AM1025" s="9"/>
      <c r="AN1025" s="9">
        <v>86</v>
      </c>
      <c r="AO1025" s="9">
        <v>107</v>
      </c>
      <c r="AP1025" s="9">
        <v>106</v>
      </c>
      <c r="AQ1025" s="9">
        <v>215</v>
      </c>
      <c r="AR1025" s="9">
        <v>204</v>
      </c>
      <c r="AS1025" s="9">
        <v>211</v>
      </c>
      <c r="AT1025" s="9">
        <v>200</v>
      </c>
      <c r="AU1025" s="9">
        <v>196</v>
      </c>
      <c r="AV1025" s="9">
        <v>206</v>
      </c>
      <c r="AW1025" s="9">
        <v>240</v>
      </c>
      <c r="AX1025" s="9">
        <v>227</v>
      </c>
      <c r="AY1025" s="9">
        <v>216</v>
      </c>
      <c r="AZ1025" s="9">
        <v>0</v>
      </c>
    </row>
    <row r="1026" spans="2:52">
      <c r="B1026" t="str">
        <f t="shared" si="75"/>
        <v>Aug</v>
      </c>
      <c r="C1026" s="43">
        <f t="shared" si="76"/>
        <v>46250</v>
      </c>
      <c r="D1026" s="44">
        <f t="shared" si="77"/>
        <v>46245</v>
      </c>
      <c r="E1026" s="9" t="s">
        <v>40</v>
      </c>
      <c r="F1026">
        <f t="shared" si="78"/>
        <v>0</v>
      </c>
      <c r="G1026">
        <f t="shared" si="79"/>
        <v>-188</v>
      </c>
      <c r="AJ1026" s="40">
        <v>46245</v>
      </c>
      <c r="AK1026" s="9" t="s">
        <v>205</v>
      </c>
      <c r="AL1026" s="9" t="s">
        <v>40</v>
      </c>
      <c r="AM1026" s="9"/>
      <c r="AN1026" s="9">
        <v>27</v>
      </c>
      <c r="AO1026" s="9">
        <v>0</v>
      </c>
      <c r="AP1026" s="9">
        <v>0</v>
      </c>
      <c r="AQ1026" s="9">
        <v>0</v>
      </c>
      <c r="AR1026" s="9">
        <v>16</v>
      </c>
      <c r="AS1026" s="9">
        <v>0</v>
      </c>
      <c r="AT1026" s="9">
        <v>0</v>
      </c>
      <c r="AU1026" s="9">
        <v>8</v>
      </c>
      <c r="AV1026" s="9">
        <v>0</v>
      </c>
      <c r="AW1026" s="9">
        <v>0</v>
      </c>
      <c r="AX1026" s="9">
        <v>7</v>
      </c>
      <c r="AY1026" s="9">
        <v>0</v>
      </c>
      <c r="AZ1026" s="9">
        <v>7</v>
      </c>
    </row>
    <row r="1027" spans="2:52">
      <c r="B1027" t="str">
        <f t="shared" si="75"/>
        <v>Aug</v>
      </c>
      <c r="C1027" s="43">
        <f t="shared" si="76"/>
        <v>46250</v>
      </c>
      <c r="D1027" s="44">
        <f t="shared" si="77"/>
        <v>46245</v>
      </c>
      <c r="E1027" s="9" t="s">
        <v>41</v>
      </c>
      <c r="F1027">
        <f t="shared" si="78"/>
        <v>0</v>
      </c>
      <c r="G1027">
        <f t="shared" si="79"/>
        <v>-10</v>
      </c>
      <c r="AJ1027" s="40">
        <v>46245</v>
      </c>
      <c r="AK1027" s="9" t="s">
        <v>41</v>
      </c>
      <c r="AL1027" s="9" t="s">
        <v>41</v>
      </c>
      <c r="AM1027" s="9"/>
      <c r="AN1027" s="9">
        <v>32</v>
      </c>
      <c r="AO1027" s="9">
        <v>37</v>
      </c>
      <c r="AP1027" s="9">
        <v>36</v>
      </c>
      <c r="AQ1027" s="9">
        <v>39</v>
      </c>
      <c r="AR1027" s="9">
        <v>39</v>
      </c>
      <c r="AS1027" s="9">
        <v>42</v>
      </c>
      <c r="AT1027" s="9">
        <v>38</v>
      </c>
      <c r="AU1027" s="9">
        <v>41</v>
      </c>
      <c r="AV1027" s="9">
        <v>39</v>
      </c>
      <c r="AW1027" s="9">
        <v>80</v>
      </c>
      <c r="AX1027" s="9">
        <v>114</v>
      </c>
      <c r="AY1027" s="9">
        <v>0</v>
      </c>
      <c r="AZ1027" s="9">
        <v>0</v>
      </c>
    </row>
    <row r="1028" spans="2:52">
      <c r="B1028" t="str">
        <f t="shared" si="75"/>
        <v>Aug</v>
      </c>
      <c r="C1028" s="43">
        <f t="shared" si="76"/>
        <v>46250</v>
      </c>
      <c r="D1028" s="44">
        <f t="shared" si="77"/>
        <v>46245</v>
      </c>
      <c r="E1028" s="9" t="s">
        <v>45</v>
      </c>
      <c r="F1028">
        <f t="shared" si="78"/>
        <v>0</v>
      </c>
      <c r="G1028">
        <f t="shared" si="79"/>
        <v>-55</v>
      </c>
      <c r="AJ1028" s="40">
        <v>46245</v>
      </c>
      <c r="AK1028" s="9" t="s">
        <v>202</v>
      </c>
      <c r="AL1028" s="9" t="s">
        <v>45</v>
      </c>
      <c r="AM1028" s="9"/>
      <c r="AN1028" s="9">
        <v>97</v>
      </c>
      <c r="AO1028" s="9">
        <v>98</v>
      </c>
      <c r="AP1028" s="9">
        <v>99</v>
      </c>
      <c r="AQ1028" s="9">
        <v>0</v>
      </c>
      <c r="AR1028" s="9">
        <v>7</v>
      </c>
      <c r="AS1028" s="9">
        <v>36</v>
      </c>
      <c r="AT1028" s="9">
        <v>0</v>
      </c>
      <c r="AU1028" s="9">
        <v>12</v>
      </c>
      <c r="AV1028" s="9">
        <v>19</v>
      </c>
      <c r="AW1028" s="9">
        <v>0</v>
      </c>
      <c r="AX1028" s="9">
        <v>0</v>
      </c>
      <c r="AY1028" s="9">
        <v>9</v>
      </c>
      <c r="AZ1028" s="9">
        <v>55</v>
      </c>
    </row>
    <row r="1029" spans="2:52">
      <c r="B1029" t="str">
        <f t="shared" ref="B1029:B1092" si="80">TEXT(C1029,"MMM")</f>
        <v>Aug</v>
      </c>
      <c r="C1029" s="43">
        <f t="shared" ref="C1029:C1092" si="81">AJ1029+(8-WEEKDAY(AJ1029))</f>
        <v>46250</v>
      </c>
      <c r="D1029" s="44">
        <f t="shared" ref="D1029:D1092" si="82">AJ1029</f>
        <v>46245</v>
      </c>
      <c r="E1029" s="9" t="s">
        <v>46</v>
      </c>
      <c r="F1029">
        <f t="shared" ref="F1029:F1092" si="83">IF(SUM(V1029:AI1029)&lt;=0,0,SUM(V1029:AI1029))</f>
        <v>0</v>
      </c>
      <c r="G1029">
        <f t="shared" si="79"/>
        <v>-46</v>
      </c>
      <c r="AJ1029" s="40">
        <v>46245</v>
      </c>
      <c r="AK1029" s="9" t="s">
        <v>202</v>
      </c>
      <c r="AL1029" s="9" t="s">
        <v>46</v>
      </c>
      <c r="AM1029" s="9"/>
      <c r="AN1029" s="9">
        <v>0</v>
      </c>
      <c r="AO1029" s="9">
        <v>15</v>
      </c>
      <c r="AP1029" s="9">
        <v>0</v>
      </c>
      <c r="AQ1029" s="9">
        <v>0</v>
      </c>
      <c r="AR1029" s="9">
        <v>2</v>
      </c>
      <c r="AS1029" s="9">
        <v>2</v>
      </c>
      <c r="AT1029" s="9">
        <v>4</v>
      </c>
      <c r="AU1029" s="9">
        <v>1</v>
      </c>
      <c r="AV1029" s="9">
        <v>54</v>
      </c>
      <c r="AW1029" s="9">
        <v>51</v>
      </c>
      <c r="AX1029" s="9">
        <v>52</v>
      </c>
      <c r="AY1029" s="9">
        <v>23</v>
      </c>
      <c r="AZ1029" s="9">
        <v>25</v>
      </c>
    </row>
    <row r="1030" spans="2:52">
      <c r="B1030" t="str">
        <f t="shared" si="80"/>
        <v>Aug</v>
      </c>
      <c r="C1030" s="43">
        <f t="shared" si="81"/>
        <v>46250</v>
      </c>
      <c r="D1030" s="44">
        <f t="shared" si="82"/>
        <v>46245</v>
      </c>
      <c r="E1030" s="9" t="s">
        <v>47</v>
      </c>
      <c r="F1030">
        <f t="shared" si="83"/>
        <v>0</v>
      </c>
      <c r="G1030">
        <f t="shared" si="79"/>
        <v>6</v>
      </c>
      <c r="AJ1030" s="40">
        <v>46245</v>
      </c>
      <c r="AK1030" s="9" t="s">
        <v>202</v>
      </c>
      <c r="AL1030" s="9" t="s">
        <v>47</v>
      </c>
      <c r="AM1030" s="9"/>
      <c r="AN1030" s="9">
        <v>23</v>
      </c>
      <c r="AO1030" s="9">
        <v>60</v>
      </c>
      <c r="AP1030" s="9">
        <v>87</v>
      </c>
      <c r="AQ1030" s="9">
        <v>84</v>
      </c>
      <c r="AR1030" s="9">
        <v>89</v>
      </c>
      <c r="AS1030" s="9">
        <v>92</v>
      </c>
      <c r="AT1030" s="9">
        <v>91</v>
      </c>
      <c r="AU1030" s="9">
        <v>88</v>
      </c>
      <c r="AV1030" s="9">
        <v>91</v>
      </c>
      <c r="AW1030" s="9">
        <v>88</v>
      </c>
      <c r="AX1030" s="9">
        <v>0</v>
      </c>
      <c r="AY1030" s="9">
        <v>0</v>
      </c>
      <c r="AZ1030" s="9">
        <v>9</v>
      </c>
    </row>
    <row r="1031" spans="2:52">
      <c r="B1031" t="str">
        <f t="shared" si="80"/>
        <v>Aug</v>
      </c>
      <c r="C1031" s="43">
        <f t="shared" si="81"/>
        <v>46250</v>
      </c>
      <c r="D1031" s="44">
        <f t="shared" si="82"/>
        <v>46245</v>
      </c>
      <c r="E1031" s="9" t="s">
        <v>206</v>
      </c>
      <c r="F1031">
        <f t="shared" si="83"/>
        <v>0</v>
      </c>
      <c r="G1031">
        <f t="shared" si="79"/>
        <v>-99</v>
      </c>
      <c r="AJ1031" s="40">
        <v>46245</v>
      </c>
      <c r="AK1031" s="9" t="s">
        <v>43</v>
      </c>
      <c r="AL1031" s="9" t="s">
        <v>206</v>
      </c>
      <c r="AM1031" s="9"/>
      <c r="AN1031" s="9">
        <v>38</v>
      </c>
      <c r="AO1031" s="9">
        <v>111</v>
      </c>
      <c r="AP1031" s="9">
        <v>113</v>
      </c>
      <c r="AQ1031" s="9">
        <v>108</v>
      </c>
      <c r="AR1031" s="9">
        <v>113</v>
      </c>
      <c r="AS1031" s="9">
        <v>0</v>
      </c>
      <c r="AT1031" s="9">
        <v>13</v>
      </c>
      <c r="AU1031" s="9">
        <v>9</v>
      </c>
      <c r="AV1031" s="9">
        <v>7</v>
      </c>
      <c r="AW1031" s="9">
        <v>4</v>
      </c>
      <c r="AX1031" s="9">
        <v>0</v>
      </c>
      <c r="AY1031" s="9">
        <v>30</v>
      </c>
      <c r="AZ1031" s="9">
        <v>0</v>
      </c>
    </row>
    <row r="1032" spans="2:52">
      <c r="B1032" t="str">
        <f t="shared" si="80"/>
        <v>Aug</v>
      </c>
      <c r="C1032" s="43">
        <f t="shared" si="81"/>
        <v>46250</v>
      </c>
      <c r="D1032" s="44">
        <f t="shared" si="82"/>
        <v>46245</v>
      </c>
      <c r="E1032" s="9" t="s">
        <v>207</v>
      </c>
      <c r="F1032">
        <f t="shared" si="83"/>
        <v>0</v>
      </c>
      <c r="G1032">
        <f t="shared" si="79"/>
        <v>8</v>
      </c>
      <c r="AJ1032" s="40">
        <v>46245</v>
      </c>
      <c r="AK1032" s="9" t="s">
        <v>203</v>
      </c>
      <c r="AL1032" s="9" t="s">
        <v>207</v>
      </c>
      <c r="AM1032" s="9"/>
      <c r="AN1032" s="9">
        <v>63</v>
      </c>
      <c r="AO1032" s="9">
        <v>70</v>
      </c>
      <c r="AP1032" s="9">
        <v>65</v>
      </c>
      <c r="AQ1032" s="9">
        <v>63</v>
      </c>
      <c r="AR1032" s="9">
        <v>60</v>
      </c>
      <c r="AS1032" s="9">
        <v>0</v>
      </c>
      <c r="AT1032" s="9">
        <v>3</v>
      </c>
      <c r="AU1032" s="9">
        <v>38</v>
      </c>
      <c r="AV1032" s="9">
        <v>44</v>
      </c>
      <c r="AW1032" s="9">
        <v>36</v>
      </c>
      <c r="AX1032" s="9">
        <v>76</v>
      </c>
      <c r="AY1032" s="9">
        <v>70</v>
      </c>
      <c r="AZ1032" s="9">
        <v>73</v>
      </c>
    </row>
    <row r="1033" spans="2:52">
      <c r="B1033" t="str">
        <f t="shared" si="80"/>
        <v>Aug</v>
      </c>
      <c r="C1033" s="43">
        <f t="shared" si="81"/>
        <v>46250</v>
      </c>
      <c r="D1033" s="44">
        <f t="shared" si="82"/>
        <v>46245</v>
      </c>
      <c r="E1033" s="9" t="s">
        <v>42</v>
      </c>
      <c r="F1033">
        <f t="shared" si="83"/>
        <v>0</v>
      </c>
      <c r="G1033">
        <f t="shared" si="79"/>
        <v>-20</v>
      </c>
      <c r="AJ1033" s="40">
        <v>46245</v>
      </c>
      <c r="AK1033" s="9" t="s">
        <v>42</v>
      </c>
      <c r="AL1033" s="9" t="s">
        <v>42</v>
      </c>
      <c r="AM1033" s="9"/>
      <c r="AN1033" s="9">
        <v>38</v>
      </c>
      <c r="AO1033" s="9">
        <v>0</v>
      </c>
      <c r="AP1033" s="9">
        <v>3</v>
      </c>
      <c r="AQ1033" s="9">
        <v>0</v>
      </c>
      <c r="AR1033" s="9">
        <v>7</v>
      </c>
      <c r="AS1033" s="9">
        <v>0</v>
      </c>
      <c r="AT1033" s="9">
        <v>68</v>
      </c>
      <c r="AU1033" s="9">
        <v>75</v>
      </c>
      <c r="AV1033" s="9">
        <v>71</v>
      </c>
      <c r="AW1033" s="9">
        <v>0</v>
      </c>
      <c r="AX1033" s="9">
        <v>10</v>
      </c>
      <c r="AY1033" s="9">
        <v>6</v>
      </c>
      <c r="AZ1033" s="9">
        <v>5</v>
      </c>
    </row>
    <row r="1034" spans="2:52">
      <c r="B1034" t="str">
        <f t="shared" si="80"/>
        <v>Aug</v>
      </c>
      <c r="C1034" s="43">
        <f t="shared" si="81"/>
        <v>46250</v>
      </c>
      <c r="D1034" s="44">
        <f t="shared" si="82"/>
        <v>46246</v>
      </c>
      <c r="E1034" s="9" t="s">
        <v>31</v>
      </c>
      <c r="F1034">
        <f t="shared" si="83"/>
        <v>0</v>
      </c>
      <c r="G1034">
        <f t="shared" si="79"/>
        <v>125</v>
      </c>
      <c r="AJ1034" s="40">
        <v>46246</v>
      </c>
      <c r="AK1034" s="9" t="s">
        <v>204</v>
      </c>
      <c r="AL1034" s="9" t="s">
        <v>31</v>
      </c>
      <c r="AM1034" s="9"/>
      <c r="AN1034" s="9">
        <v>71</v>
      </c>
      <c r="AO1034" s="9">
        <v>127</v>
      </c>
      <c r="AP1034" s="9">
        <v>119</v>
      </c>
      <c r="AQ1034" s="9">
        <v>172</v>
      </c>
      <c r="AR1034" s="9">
        <v>0</v>
      </c>
      <c r="AS1034" s="9">
        <v>24</v>
      </c>
      <c r="AT1034" s="9">
        <v>23</v>
      </c>
      <c r="AU1034" s="9">
        <v>28</v>
      </c>
      <c r="AV1034" s="9">
        <v>39</v>
      </c>
      <c r="AW1034" s="9">
        <v>41</v>
      </c>
      <c r="AX1034" s="9">
        <v>32</v>
      </c>
      <c r="AY1034" s="9">
        <v>146</v>
      </c>
      <c r="AZ1034" s="9">
        <v>154</v>
      </c>
    </row>
    <row r="1035" spans="2:52">
      <c r="B1035" t="str">
        <f t="shared" si="80"/>
        <v>Aug</v>
      </c>
      <c r="C1035" s="43">
        <f t="shared" si="81"/>
        <v>46250</v>
      </c>
      <c r="D1035" s="44">
        <f t="shared" si="82"/>
        <v>46246</v>
      </c>
      <c r="E1035" s="9" t="s">
        <v>39</v>
      </c>
      <c r="F1035">
        <f t="shared" si="83"/>
        <v>0</v>
      </c>
      <c r="G1035">
        <f t="shared" si="79"/>
        <v>190</v>
      </c>
      <c r="AJ1035" s="40">
        <v>46246</v>
      </c>
      <c r="AK1035" s="9" t="s">
        <v>205</v>
      </c>
      <c r="AL1035" s="9" t="s">
        <v>39</v>
      </c>
      <c r="AM1035" s="9"/>
      <c r="AN1035" s="9">
        <v>105</v>
      </c>
      <c r="AO1035" s="9">
        <v>119</v>
      </c>
      <c r="AP1035" s="9">
        <v>130</v>
      </c>
      <c r="AQ1035" s="9">
        <v>134</v>
      </c>
      <c r="AR1035" s="9">
        <v>130</v>
      </c>
      <c r="AS1035" s="9">
        <v>140</v>
      </c>
      <c r="AT1035" s="9">
        <v>137</v>
      </c>
      <c r="AU1035" s="9">
        <v>149</v>
      </c>
      <c r="AV1035" s="9">
        <v>0</v>
      </c>
      <c r="AW1035" s="9">
        <v>34</v>
      </c>
      <c r="AX1035" s="9">
        <v>26</v>
      </c>
      <c r="AY1035" s="9">
        <v>134</v>
      </c>
      <c r="AZ1035" s="9">
        <v>190</v>
      </c>
    </row>
    <row r="1036" spans="2:52">
      <c r="B1036" t="str">
        <f t="shared" si="80"/>
        <v>Aug</v>
      </c>
      <c r="C1036" s="43">
        <f t="shared" si="81"/>
        <v>46250</v>
      </c>
      <c r="D1036" s="44">
        <f t="shared" si="82"/>
        <v>46246</v>
      </c>
      <c r="E1036" s="9" t="s">
        <v>40</v>
      </c>
      <c r="F1036">
        <f t="shared" si="83"/>
        <v>0</v>
      </c>
      <c r="G1036">
        <f t="shared" si="79"/>
        <v>67</v>
      </c>
      <c r="AJ1036" s="40">
        <v>46246</v>
      </c>
      <c r="AK1036" s="9" t="s">
        <v>205</v>
      </c>
      <c r="AL1036" s="9" t="s">
        <v>40</v>
      </c>
      <c r="AM1036" s="9"/>
      <c r="AN1036" s="9">
        <v>39</v>
      </c>
      <c r="AO1036" s="9">
        <v>35</v>
      </c>
      <c r="AP1036" s="9">
        <v>32</v>
      </c>
      <c r="AQ1036" s="9">
        <v>31</v>
      </c>
      <c r="AR1036" s="9">
        <v>28</v>
      </c>
      <c r="AS1036" s="9">
        <v>18</v>
      </c>
      <c r="AT1036" s="9">
        <v>25</v>
      </c>
      <c r="AU1036" s="9">
        <v>59</v>
      </c>
      <c r="AV1036" s="9">
        <v>62</v>
      </c>
      <c r="AW1036" s="9">
        <v>64</v>
      </c>
      <c r="AX1036" s="9">
        <v>73</v>
      </c>
      <c r="AY1036" s="9">
        <v>77</v>
      </c>
      <c r="AZ1036" s="9">
        <v>74</v>
      </c>
    </row>
    <row r="1037" spans="2:52">
      <c r="B1037" t="str">
        <f t="shared" si="80"/>
        <v>Aug</v>
      </c>
      <c r="C1037" s="43">
        <f t="shared" si="81"/>
        <v>46250</v>
      </c>
      <c r="D1037" s="44">
        <f t="shared" si="82"/>
        <v>46246</v>
      </c>
      <c r="E1037" s="9" t="s">
        <v>41</v>
      </c>
      <c r="F1037">
        <f t="shared" si="83"/>
        <v>0</v>
      </c>
      <c r="G1037">
        <f t="shared" si="79"/>
        <v>129</v>
      </c>
      <c r="AJ1037" s="40">
        <v>46246</v>
      </c>
      <c r="AK1037" s="9" t="s">
        <v>41</v>
      </c>
      <c r="AL1037" s="9" t="s">
        <v>41</v>
      </c>
      <c r="AM1037" s="9"/>
      <c r="AN1037" s="9">
        <v>14</v>
      </c>
      <c r="AO1037" s="9">
        <v>13</v>
      </c>
      <c r="AP1037" s="9">
        <v>9</v>
      </c>
      <c r="AQ1037" s="9">
        <v>6</v>
      </c>
      <c r="AR1037" s="9">
        <v>11</v>
      </c>
      <c r="AS1037" s="9">
        <v>131</v>
      </c>
      <c r="AT1037" s="9">
        <v>127</v>
      </c>
      <c r="AU1037" s="9">
        <v>125</v>
      </c>
      <c r="AV1037" s="9">
        <v>124</v>
      </c>
      <c r="AW1037" s="9">
        <v>123</v>
      </c>
      <c r="AX1037" s="9">
        <v>122</v>
      </c>
      <c r="AY1037" s="9">
        <v>124</v>
      </c>
      <c r="AZ1037" s="9">
        <v>129</v>
      </c>
    </row>
    <row r="1038" spans="2:52">
      <c r="B1038" t="str">
        <f t="shared" si="80"/>
        <v>Aug</v>
      </c>
      <c r="C1038" s="43">
        <f t="shared" si="81"/>
        <v>46250</v>
      </c>
      <c r="D1038" s="44">
        <f t="shared" si="82"/>
        <v>46246</v>
      </c>
      <c r="E1038" s="9" t="s">
        <v>45</v>
      </c>
      <c r="F1038">
        <f t="shared" si="83"/>
        <v>0</v>
      </c>
      <c r="G1038">
        <f t="shared" si="79"/>
        <v>-55</v>
      </c>
      <c r="AJ1038" s="40">
        <v>46246</v>
      </c>
      <c r="AK1038" s="9" t="s">
        <v>202</v>
      </c>
      <c r="AL1038" s="9" t="s">
        <v>45</v>
      </c>
      <c r="AM1038" s="9"/>
      <c r="AN1038" s="9">
        <v>0</v>
      </c>
      <c r="AO1038" s="9">
        <v>0</v>
      </c>
      <c r="AP1038" s="9">
        <v>0</v>
      </c>
      <c r="AQ1038" s="9">
        <v>4</v>
      </c>
      <c r="AR1038" s="9">
        <v>1</v>
      </c>
      <c r="AS1038" s="9">
        <v>2</v>
      </c>
      <c r="AT1038" s="9">
        <v>9</v>
      </c>
      <c r="AU1038" s="9">
        <v>45</v>
      </c>
      <c r="AV1038" s="9">
        <v>49</v>
      </c>
      <c r="AW1038" s="9">
        <v>49</v>
      </c>
      <c r="AX1038" s="9">
        <v>48</v>
      </c>
      <c r="AY1038" s="9">
        <v>106</v>
      </c>
      <c r="AZ1038" s="9">
        <v>0</v>
      </c>
    </row>
    <row r="1039" spans="2:52">
      <c r="B1039" t="str">
        <f t="shared" si="80"/>
        <v>Aug</v>
      </c>
      <c r="C1039" s="43">
        <f t="shared" si="81"/>
        <v>46250</v>
      </c>
      <c r="D1039" s="44">
        <f t="shared" si="82"/>
        <v>46246</v>
      </c>
      <c r="E1039" s="9" t="s">
        <v>46</v>
      </c>
      <c r="F1039">
        <f t="shared" si="83"/>
        <v>0</v>
      </c>
      <c r="G1039">
        <f t="shared" ref="G1039:G1102" si="84">SUM(H1039:U1039)+AZ1039-AZ1029</f>
        <v>-25</v>
      </c>
      <c r="AJ1039" s="40">
        <v>46246</v>
      </c>
      <c r="AK1039" s="9" t="s">
        <v>202</v>
      </c>
      <c r="AL1039" s="9" t="s">
        <v>46</v>
      </c>
      <c r="AM1039" s="9"/>
      <c r="AN1039" s="9">
        <v>32</v>
      </c>
      <c r="AO1039" s="9">
        <v>33</v>
      </c>
      <c r="AP1039" s="9">
        <v>0</v>
      </c>
      <c r="AQ1039" s="9">
        <v>26</v>
      </c>
      <c r="AR1039" s="9">
        <v>27</v>
      </c>
      <c r="AS1039" s="9">
        <v>0</v>
      </c>
      <c r="AT1039" s="9">
        <v>2</v>
      </c>
      <c r="AU1039" s="9">
        <v>39</v>
      </c>
      <c r="AV1039" s="9">
        <v>37</v>
      </c>
      <c r="AW1039" s="9">
        <v>0</v>
      </c>
      <c r="AX1039" s="9">
        <v>0</v>
      </c>
      <c r="AY1039" s="9">
        <v>4</v>
      </c>
      <c r="AZ1039" s="9">
        <v>0</v>
      </c>
    </row>
    <row r="1040" spans="2:52">
      <c r="B1040" t="str">
        <f t="shared" si="80"/>
        <v>Aug</v>
      </c>
      <c r="C1040" s="43">
        <f t="shared" si="81"/>
        <v>46250</v>
      </c>
      <c r="D1040" s="44">
        <f t="shared" si="82"/>
        <v>46246</v>
      </c>
      <c r="E1040" s="9" t="s">
        <v>47</v>
      </c>
      <c r="F1040">
        <f t="shared" si="83"/>
        <v>0</v>
      </c>
      <c r="G1040">
        <f t="shared" si="84"/>
        <v>135</v>
      </c>
      <c r="AJ1040" s="40">
        <v>46246</v>
      </c>
      <c r="AK1040" s="9" t="s">
        <v>202</v>
      </c>
      <c r="AL1040" s="9" t="s">
        <v>47</v>
      </c>
      <c r="AM1040" s="9"/>
      <c r="AN1040" s="9">
        <v>19</v>
      </c>
      <c r="AO1040" s="9">
        <v>0</v>
      </c>
      <c r="AP1040" s="9">
        <v>16</v>
      </c>
      <c r="AQ1040" s="9">
        <v>19</v>
      </c>
      <c r="AR1040" s="9">
        <v>17</v>
      </c>
      <c r="AS1040" s="9">
        <v>16</v>
      </c>
      <c r="AT1040" s="9">
        <v>0</v>
      </c>
      <c r="AU1040" s="9">
        <v>0</v>
      </c>
      <c r="AV1040" s="9">
        <v>5</v>
      </c>
      <c r="AW1040" s="9">
        <v>26</v>
      </c>
      <c r="AX1040" s="9">
        <v>172</v>
      </c>
      <c r="AY1040" s="9">
        <v>145</v>
      </c>
      <c r="AZ1040" s="9">
        <v>144</v>
      </c>
    </row>
    <row r="1041" spans="2:52">
      <c r="B1041" t="str">
        <f t="shared" si="80"/>
        <v>Aug</v>
      </c>
      <c r="C1041" s="43">
        <f t="shared" si="81"/>
        <v>46250</v>
      </c>
      <c r="D1041" s="44">
        <f t="shared" si="82"/>
        <v>46246</v>
      </c>
      <c r="E1041" s="9" t="s">
        <v>206</v>
      </c>
      <c r="F1041">
        <f t="shared" si="83"/>
        <v>0</v>
      </c>
      <c r="G1041">
        <f t="shared" si="84"/>
        <v>2</v>
      </c>
      <c r="AJ1041" s="40">
        <v>46246</v>
      </c>
      <c r="AK1041" s="9" t="s">
        <v>43</v>
      </c>
      <c r="AL1041" s="9" t="s">
        <v>206</v>
      </c>
      <c r="AM1041" s="9"/>
      <c r="AN1041" s="9">
        <v>66</v>
      </c>
      <c r="AO1041" s="9">
        <v>59</v>
      </c>
      <c r="AP1041" s="9">
        <v>56</v>
      </c>
      <c r="AQ1041" s="9">
        <v>0</v>
      </c>
      <c r="AR1041" s="9">
        <v>17</v>
      </c>
      <c r="AS1041" s="9">
        <v>76</v>
      </c>
      <c r="AT1041" s="9">
        <v>77</v>
      </c>
      <c r="AU1041" s="9">
        <v>0</v>
      </c>
      <c r="AV1041" s="9">
        <v>0</v>
      </c>
      <c r="AW1041" s="9">
        <v>0</v>
      </c>
      <c r="AX1041" s="9">
        <v>0</v>
      </c>
      <c r="AY1041" s="9">
        <v>0</v>
      </c>
      <c r="AZ1041" s="9">
        <v>2</v>
      </c>
    </row>
    <row r="1042" spans="2:52">
      <c r="B1042" t="str">
        <f t="shared" si="80"/>
        <v>Aug</v>
      </c>
      <c r="C1042" s="43">
        <f t="shared" si="81"/>
        <v>46250</v>
      </c>
      <c r="D1042" s="44">
        <f t="shared" si="82"/>
        <v>46246</v>
      </c>
      <c r="E1042" s="9" t="s">
        <v>207</v>
      </c>
      <c r="F1042">
        <f t="shared" si="83"/>
        <v>0</v>
      </c>
      <c r="G1042">
        <f t="shared" si="84"/>
        <v>-73</v>
      </c>
      <c r="AJ1042" s="40">
        <v>46246</v>
      </c>
      <c r="AK1042" s="9" t="s">
        <v>203</v>
      </c>
      <c r="AL1042" s="9" t="s">
        <v>207</v>
      </c>
      <c r="AM1042" s="9"/>
      <c r="AN1042" s="9">
        <v>38</v>
      </c>
      <c r="AO1042" s="9">
        <v>0</v>
      </c>
      <c r="AP1042" s="9">
        <v>24</v>
      </c>
      <c r="AQ1042" s="9">
        <v>69</v>
      </c>
      <c r="AR1042" s="9">
        <v>72</v>
      </c>
      <c r="AS1042" s="9">
        <v>64</v>
      </c>
      <c r="AT1042" s="9">
        <v>67</v>
      </c>
      <c r="AU1042" s="9">
        <v>65</v>
      </c>
      <c r="AV1042" s="9">
        <v>71</v>
      </c>
      <c r="AW1042" s="9">
        <v>75</v>
      </c>
      <c r="AX1042" s="9">
        <v>0</v>
      </c>
      <c r="AY1042" s="9">
        <v>4</v>
      </c>
      <c r="AZ1042" s="9">
        <v>0</v>
      </c>
    </row>
    <row r="1043" spans="2:52">
      <c r="B1043" t="str">
        <f t="shared" si="80"/>
        <v>Aug</v>
      </c>
      <c r="C1043" s="43">
        <f t="shared" si="81"/>
        <v>46250</v>
      </c>
      <c r="D1043" s="44">
        <f t="shared" si="82"/>
        <v>46246</v>
      </c>
      <c r="E1043" s="9" t="s">
        <v>42</v>
      </c>
      <c r="F1043">
        <f t="shared" si="83"/>
        <v>0</v>
      </c>
      <c r="G1043">
        <f t="shared" si="84"/>
        <v>9</v>
      </c>
      <c r="AJ1043" s="40">
        <v>46246</v>
      </c>
      <c r="AK1043" s="9" t="s">
        <v>42</v>
      </c>
      <c r="AL1043" s="9" t="s">
        <v>42</v>
      </c>
      <c r="AM1043" s="9"/>
      <c r="AN1043" s="9">
        <v>14</v>
      </c>
      <c r="AO1043" s="9">
        <v>15</v>
      </c>
      <c r="AP1043" s="9">
        <v>0</v>
      </c>
      <c r="AQ1043" s="9">
        <v>0</v>
      </c>
      <c r="AR1043" s="9">
        <v>0</v>
      </c>
      <c r="AS1043" s="9">
        <v>20</v>
      </c>
      <c r="AT1043" s="9">
        <v>24</v>
      </c>
      <c r="AU1043" s="9">
        <v>22</v>
      </c>
      <c r="AV1043" s="9">
        <v>0</v>
      </c>
      <c r="AW1043" s="9">
        <v>1</v>
      </c>
      <c r="AX1043" s="9">
        <v>0</v>
      </c>
      <c r="AY1043" s="9">
        <v>0</v>
      </c>
      <c r="AZ1043" s="9">
        <v>14</v>
      </c>
    </row>
    <row r="1044" spans="2:52">
      <c r="B1044" t="str">
        <f t="shared" si="80"/>
        <v>Aug</v>
      </c>
      <c r="C1044" s="43">
        <f t="shared" si="81"/>
        <v>46250</v>
      </c>
      <c r="D1044" s="44">
        <f t="shared" si="82"/>
        <v>46247</v>
      </c>
      <c r="E1044" s="9" t="s">
        <v>31</v>
      </c>
      <c r="F1044">
        <f t="shared" si="83"/>
        <v>0</v>
      </c>
      <c r="G1044">
        <f t="shared" si="84"/>
        <v>-154</v>
      </c>
      <c r="AJ1044" s="40">
        <v>46247</v>
      </c>
      <c r="AK1044" s="9" t="s">
        <v>204</v>
      </c>
      <c r="AL1044" s="9" t="s">
        <v>31</v>
      </c>
      <c r="AM1044" s="9"/>
      <c r="AN1044" s="9">
        <v>136</v>
      </c>
      <c r="AO1044" s="9">
        <v>0</v>
      </c>
      <c r="AP1044" s="9">
        <v>69</v>
      </c>
      <c r="AQ1044" s="9">
        <v>55</v>
      </c>
      <c r="AR1044" s="9">
        <v>88</v>
      </c>
      <c r="AS1044" s="9">
        <v>108</v>
      </c>
      <c r="AT1044" s="9">
        <v>128</v>
      </c>
      <c r="AU1044" s="9">
        <v>0</v>
      </c>
      <c r="AV1044" s="9">
        <v>0</v>
      </c>
      <c r="AW1044" s="9">
        <v>0</v>
      </c>
      <c r="AX1044" s="9">
        <v>18</v>
      </c>
      <c r="AY1044" s="9">
        <v>15</v>
      </c>
      <c r="AZ1044" s="9">
        <v>0</v>
      </c>
    </row>
    <row r="1045" spans="2:52">
      <c r="B1045" t="str">
        <f t="shared" si="80"/>
        <v>Aug</v>
      </c>
      <c r="C1045" s="43">
        <f t="shared" si="81"/>
        <v>46250</v>
      </c>
      <c r="D1045" s="44">
        <f t="shared" si="82"/>
        <v>46247</v>
      </c>
      <c r="E1045" s="9" t="s">
        <v>39</v>
      </c>
      <c r="F1045">
        <f t="shared" si="83"/>
        <v>0</v>
      </c>
      <c r="G1045">
        <f t="shared" si="84"/>
        <v>-190</v>
      </c>
      <c r="AJ1045" s="40">
        <v>46247</v>
      </c>
      <c r="AK1045" s="9" t="s">
        <v>205</v>
      </c>
      <c r="AL1045" s="9" t="s">
        <v>39</v>
      </c>
      <c r="AM1045" s="9"/>
      <c r="AN1045" s="9">
        <v>41</v>
      </c>
      <c r="AO1045" s="9">
        <v>51</v>
      </c>
      <c r="AP1045" s="9">
        <v>68</v>
      </c>
      <c r="AQ1045" s="9">
        <v>56</v>
      </c>
      <c r="AR1045" s="9">
        <v>65</v>
      </c>
      <c r="AS1045" s="9">
        <v>69</v>
      </c>
      <c r="AT1045" s="9">
        <v>76</v>
      </c>
      <c r="AU1045" s="9">
        <v>70</v>
      </c>
      <c r="AV1045" s="9">
        <v>71</v>
      </c>
      <c r="AW1045" s="9">
        <v>0</v>
      </c>
      <c r="AX1045" s="9">
        <v>6</v>
      </c>
      <c r="AY1045" s="9">
        <v>2</v>
      </c>
      <c r="AZ1045" s="9">
        <v>0</v>
      </c>
    </row>
    <row r="1046" spans="2:52">
      <c r="B1046" t="str">
        <f t="shared" si="80"/>
        <v>Aug</v>
      </c>
      <c r="C1046" s="43">
        <f t="shared" si="81"/>
        <v>46250</v>
      </c>
      <c r="D1046" s="44">
        <f t="shared" si="82"/>
        <v>46247</v>
      </c>
      <c r="E1046" s="9" t="s">
        <v>40</v>
      </c>
      <c r="F1046">
        <f t="shared" si="83"/>
        <v>0</v>
      </c>
      <c r="G1046">
        <f t="shared" si="84"/>
        <v>160</v>
      </c>
      <c r="AJ1046" s="40">
        <v>46247</v>
      </c>
      <c r="AK1046" s="9" t="s">
        <v>205</v>
      </c>
      <c r="AL1046" s="9" t="s">
        <v>40</v>
      </c>
      <c r="AM1046" s="9"/>
      <c r="AN1046" s="9">
        <v>117</v>
      </c>
      <c r="AO1046" s="9">
        <v>127</v>
      </c>
      <c r="AP1046" s="9">
        <v>126</v>
      </c>
      <c r="AQ1046" s="9">
        <v>128</v>
      </c>
      <c r="AR1046" s="9">
        <v>121</v>
      </c>
      <c r="AS1046" s="9">
        <v>133</v>
      </c>
      <c r="AT1046" s="9">
        <v>137</v>
      </c>
      <c r="AU1046" s="9">
        <v>129</v>
      </c>
      <c r="AV1046" s="9">
        <v>129</v>
      </c>
      <c r="AW1046" s="9">
        <v>240</v>
      </c>
      <c r="AX1046" s="9">
        <v>230</v>
      </c>
      <c r="AY1046" s="9">
        <v>240</v>
      </c>
      <c r="AZ1046" s="9">
        <v>234</v>
      </c>
    </row>
    <row r="1047" spans="2:52">
      <c r="B1047" t="str">
        <f t="shared" si="80"/>
        <v>Aug</v>
      </c>
      <c r="C1047" s="43">
        <f t="shared" si="81"/>
        <v>46250</v>
      </c>
      <c r="D1047" s="44">
        <f t="shared" si="82"/>
        <v>46247</v>
      </c>
      <c r="E1047" s="9" t="s">
        <v>41</v>
      </c>
      <c r="F1047">
        <f t="shared" si="83"/>
        <v>0</v>
      </c>
      <c r="G1047">
        <f t="shared" si="84"/>
        <v>-84</v>
      </c>
      <c r="AJ1047" s="40">
        <v>46247</v>
      </c>
      <c r="AK1047" s="9" t="s">
        <v>41</v>
      </c>
      <c r="AL1047" s="9" t="s">
        <v>41</v>
      </c>
      <c r="AM1047" s="9"/>
      <c r="AN1047" s="9">
        <v>17</v>
      </c>
      <c r="AO1047" s="9">
        <v>44</v>
      </c>
      <c r="AP1047" s="9">
        <v>41</v>
      </c>
      <c r="AQ1047" s="9">
        <v>37</v>
      </c>
      <c r="AR1047" s="9">
        <v>36</v>
      </c>
      <c r="AS1047" s="9">
        <v>37</v>
      </c>
      <c r="AT1047" s="9">
        <v>37</v>
      </c>
      <c r="AU1047" s="9">
        <v>37</v>
      </c>
      <c r="AV1047" s="9">
        <v>39</v>
      </c>
      <c r="AW1047" s="9">
        <v>39</v>
      </c>
      <c r="AX1047" s="9">
        <v>42</v>
      </c>
      <c r="AY1047" s="9">
        <v>47</v>
      </c>
      <c r="AZ1047" s="9">
        <v>45</v>
      </c>
    </row>
    <row r="1048" spans="2:52">
      <c r="B1048" t="str">
        <f t="shared" si="80"/>
        <v>Aug</v>
      </c>
      <c r="C1048" s="43">
        <f t="shared" si="81"/>
        <v>46250</v>
      </c>
      <c r="D1048" s="44">
        <f t="shared" si="82"/>
        <v>46247</v>
      </c>
      <c r="E1048" s="9" t="s">
        <v>45</v>
      </c>
      <c r="F1048">
        <f t="shared" si="83"/>
        <v>0</v>
      </c>
      <c r="G1048">
        <f t="shared" si="84"/>
        <v>43</v>
      </c>
      <c r="AJ1048" s="40">
        <v>46247</v>
      </c>
      <c r="AK1048" s="9" t="s">
        <v>202</v>
      </c>
      <c r="AL1048" s="9" t="s">
        <v>45</v>
      </c>
      <c r="AM1048" s="9"/>
      <c r="AN1048" s="9">
        <v>27</v>
      </c>
      <c r="AO1048" s="9">
        <v>34</v>
      </c>
      <c r="AP1048" s="9">
        <v>28</v>
      </c>
      <c r="AQ1048" s="9">
        <v>22</v>
      </c>
      <c r="AR1048" s="9">
        <v>24</v>
      </c>
      <c r="AS1048" s="9">
        <v>23</v>
      </c>
      <c r="AT1048" s="9">
        <v>19</v>
      </c>
      <c r="AU1048" s="9">
        <v>14</v>
      </c>
      <c r="AV1048" s="9">
        <v>0</v>
      </c>
      <c r="AW1048" s="9">
        <v>30</v>
      </c>
      <c r="AX1048" s="9">
        <v>37</v>
      </c>
      <c r="AY1048" s="9">
        <v>45</v>
      </c>
      <c r="AZ1048" s="9">
        <v>43</v>
      </c>
    </row>
    <row r="1049" spans="2:52">
      <c r="B1049" t="str">
        <f t="shared" si="80"/>
        <v>Aug</v>
      </c>
      <c r="C1049" s="43">
        <f t="shared" si="81"/>
        <v>46250</v>
      </c>
      <c r="D1049" s="44">
        <f t="shared" si="82"/>
        <v>46247</v>
      </c>
      <c r="E1049" s="9" t="s">
        <v>46</v>
      </c>
      <c r="F1049">
        <f t="shared" si="83"/>
        <v>0</v>
      </c>
      <c r="G1049">
        <f t="shared" si="84"/>
        <v>30</v>
      </c>
      <c r="AJ1049" s="40">
        <v>46247</v>
      </c>
      <c r="AK1049" s="9" t="s">
        <v>202</v>
      </c>
      <c r="AL1049" s="9" t="s">
        <v>46</v>
      </c>
      <c r="AM1049" s="9"/>
      <c r="AN1049" s="9">
        <v>0</v>
      </c>
      <c r="AO1049" s="9">
        <v>16</v>
      </c>
      <c r="AP1049" s="9">
        <v>34</v>
      </c>
      <c r="AQ1049" s="9">
        <v>32</v>
      </c>
      <c r="AR1049" s="9">
        <v>29</v>
      </c>
      <c r="AS1049" s="9">
        <v>25</v>
      </c>
      <c r="AT1049" s="9">
        <v>30</v>
      </c>
      <c r="AU1049" s="9">
        <v>28</v>
      </c>
      <c r="AV1049" s="9">
        <v>30</v>
      </c>
      <c r="AW1049" s="9">
        <v>35</v>
      </c>
      <c r="AX1049" s="9">
        <v>31</v>
      </c>
      <c r="AY1049" s="9">
        <v>33</v>
      </c>
      <c r="AZ1049" s="9">
        <v>30</v>
      </c>
    </row>
    <row r="1050" spans="2:52">
      <c r="B1050" t="str">
        <f t="shared" si="80"/>
        <v>Aug</v>
      </c>
      <c r="C1050" s="43">
        <f t="shared" si="81"/>
        <v>46250</v>
      </c>
      <c r="D1050" s="44">
        <f t="shared" si="82"/>
        <v>46247</v>
      </c>
      <c r="E1050" s="9" t="s">
        <v>47</v>
      </c>
      <c r="F1050">
        <f t="shared" si="83"/>
        <v>0</v>
      </c>
      <c r="G1050">
        <f t="shared" si="84"/>
        <v>-74</v>
      </c>
      <c r="AJ1050" s="40">
        <v>46247</v>
      </c>
      <c r="AK1050" s="9" t="s">
        <v>202</v>
      </c>
      <c r="AL1050" s="9" t="s">
        <v>47</v>
      </c>
      <c r="AM1050" s="9"/>
      <c r="AN1050" s="9">
        <v>0</v>
      </c>
      <c r="AO1050" s="9">
        <v>4</v>
      </c>
      <c r="AP1050" s="9">
        <v>1</v>
      </c>
      <c r="AQ1050" s="9">
        <v>59</v>
      </c>
      <c r="AR1050" s="9">
        <v>82</v>
      </c>
      <c r="AS1050" s="9">
        <v>86</v>
      </c>
      <c r="AT1050" s="9">
        <v>0</v>
      </c>
      <c r="AU1050" s="9">
        <v>0</v>
      </c>
      <c r="AV1050" s="9">
        <v>0</v>
      </c>
      <c r="AW1050" s="9">
        <v>5</v>
      </c>
      <c r="AX1050" s="9">
        <v>28</v>
      </c>
      <c r="AY1050" s="9">
        <v>70</v>
      </c>
      <c r="AZ1050" s="9">
        <v>70</v>
      </c>
    </row>
    <row r="1051" spans="2:52">
      <c r="B1051" t="str">
        <f t="shared" si="80"/>
        <v>Aug</v>
      </c>
      <c r="C1051" s="43">
        <f t="shared" si="81"/>
        <v>46250</v>
      </c>
      <c r="D1051" s="44">
        <f t="shared" si="82"/>
        <v>46247</v>
      </c>
      <c r="E1051" s="9" t="s">
        <v>206</v>
      </c>
      <c r="F1051">
        <f t="shared" si="83"/>
        <v>0</v>
      </c>
      <c r="G1051">
        <f t="shared" si="84"/>
        <v>22</v>
      </c>
      <c r="AJ1051" s="40">
        <v>46247</v>
      </c>
      <c r="AK1051" s="9" t="s">
        <v>43</v>
      </c>
      <c r="AL1051" s="9" t="s">
        <v>206</v>
      </c>
      <c r="AM1051" s="9"/>
      <c r="AN1051" s="9">
        <v>136</v>
      </c>
      <c r="AO1051" s="9">
        <v>132</v>
      </c>
      <c r="AP1051" s="9">
        <v>134</v>
      </c>
      <c r="AQ1051" s="9">
        <v>132</v>
      </c>
      <c r="AR1051" s="9">
        <v>178</v>
      </c>
      <c r="AS1051" s="9">
        <v>186</v>
      </c>
      <c r="AT1051" s="9">
        <v>0</v>
      </c>
      <c r="AU1051" s="9">
        <v>23</v>
      </c>
      <c r="AV1051" s="9">
        <v>28</v>
      </c>
      <c r="AW1051" s="9">
        <v>20</v>
      </c>
      <c r="AX1051" s="9">
        <v>24</v>
      </c>
      <c r="AY1051" s="9">
        <v>0</v>
      </c>
      <c r="AZ1051" s="9">
        <v>24</v>
      </c>
    </row>
    <row r="1052" spans="2:52">
      <c r="B1052" t="str">
        <f t="shared" si="80"/>
        <v>Aug</v>
      </c>
      <c r="C1052" s="43">
        <f t="shared" si="81"/>
        <v>46250</v>
      </c>
      <c r="D1052" s="44">
        <f t="shared" si="82"/>
        <v>46247</v>
      </c>
      <c r="E1052" s="9" t="s">
        <v>207</v>
      </c>
      <c r="F1052">
        <f t="shared" si="83"/>
        <v>0</v>
      </c>
      <c r="G1052">
        <f t="shared" si="84"/>
        <v>53</v>
      </c>
      <c r="AJ1052" s="40">
        <v>46247</v>
      </c>
      <c r="AK1052" s="9" t="s">
        <v>203</v>
      </c>
      <c r="AL1052" s="9" t="s">
        <v>207</v>
      </c>
      <c r="AM1052" s="9"/>
      <c r="AN1052" s="9">
        <v>17</v>
      </c>
      <c r="AO1052" s="9">
        <v>21</v>
      </c>
      <c r="AP1052" s="9">
        <v>13</v>
      </c>
      <c r="AQ1052" s="9">
        <v>77</v>
      </c>
      <c r="AR1052" s="9">
        <v>72</v>
      </c>
      <c r="AS1052" s="9">
        <v>72</v>
      </c>
      <c r="AT1052" s="9">
        <v>68</v>
      </c>
      <c r="AU1052" s="9">
        <v>75</v>
      </c>
      <c r="AV1052" s="9">
        <v>71</v>
      </c>
      <c r="AW1052" s="9">
        <v>71</v>
      </c>
      <c r="AX1052" s="9">
        <v>70</v>
      </c>
      <c r="AY1052" s="9">
        <v>49</v>
      </c>
      <c r="AZ1052" s="9">
        <v>53</v>
      </c>
    </row>
    <row r="1053" spans="2:52">
      <c r="B1053" t="str">
        <f t="shared" si="80"/>
        <v>Aug</v>
      </c>
      <c r="C1053" s="43">
        <f t="shared" si="81"/>
        <v>46250</v>
      </c>
      <c r="D1053" s="44">
        <f t="shared" si="82"/>
        <v>46247</v>
      </c>
      <c r="E1053" s="9" t="s">
        <v>42</v>
      </c>
      <c r="F1053">
        <f t="shared" si="83"/>
        <v>0</v>
      </c>
      <c r="G1053">
        <f t="shared" si="84"/>
        <v>-11</v>
      </c>
      <c r="AJ1053" s="40">
        <v>46247</v>
      </c>
      <c r="AK1053" s="9" t="s">
        <v>42</v>
      </c>
      <c r="AL1053" s="9" t="s">
        <v>42</v>
      </c>
      <c r="AM1053" s="9"/>
      <c r="AN1053" s="9">
        <v>0</v>
      </c>
      <c r="AO1053" s="9">
        <v>1</v>
      </c>
      <c r="AP1053" s="9">
        <v>0</v>
      </c>
      <c r="AQ1053" s="9">
        <v>15</v>
      </c>
      <c r="AR1053" s="9">
        <v>21</v>
      </c>
      <c r="AS1053" s="9">
        <v>15</v>
      </c>
      <c r="AT1053" s="9">
        <v>19</v>
      </c>
      <c r="AU1053" s="9">
        <v>16</v>
      </c>
      <c r="AV1053" s="9">
        <v>0</v>
      </c>
      <c r="AW1053" s="9">
        <v>0</v>
      </c>
      <c r="AX1053" s="9">
        <v>0</v>
      </c>
      <c r="AY1053" s="9">
        <v>9</v>
      </c>
      <c r="AZ1053" s="9">
        <v>3</v>
      </c>
    </row>
    <row r="1054" spans="2:52">
      <c r="B1054" t="str">
        <f t="shared" si="80"/>
        <v>Aug</v>
      </c>
      <c r="C1054" s="43">
        <f t="shared" si="81"/>
        <v>46250</v>
      </c>
      <c r="D1054" s="44">
        <f t="shared" si="82"/>
        <v>46248</v>
      </c>
      <c r="E1054" s="9" t="s">
        <v>31</v>
      </c>
      <c r="F1054">
        <f t="shared" si="83"/>
        <v>0</v>
      </c>
      <c r="G1054">
        <f t="shared" si="84"/>
        <v>185</v>
      </c>
      <c r="AJ1054" s="40">
        <v>46248</v>
      </c>
      <c r="AK1054" s="9" t="s">
        <v>204</v>
      </c>
      <c r="AL1054" s="9" t="s">
        <v>31</v>
      </c>
      <c r="AM1054" s="9"/>
      <c r="AN1054" s="9">
        <v>131</v>
      </c>
      <c r="AO1054" s="9">
        <v>240</v>
      </c>
      <c r="AP1054" s="9">
        <v>240</v>
      </c>
      <c r="AQ1054" s="9">
        <v>240</v>
      </c>
      <c r="AR1054" s="9">
        <v>240</v>
      </c>
      <c r="AS1054" s="9">
        <v>240</v>
      </c>
      <c r="AT1054" s="9">
        <v>217</v>
      </c>
      <c r="AU1054" s="9">
        <v>233</v>
      </c>
      <c r="AV1054" s="9">
        <v>240</v>
      </c>
      <c r="AW1054" s="9">
        <v>233</v>
      </c>
      <c r="AX1054" s="9">
        <v>232</v>
      </c>
      <c r="AY1054" s="9">
        <v>232</v>
      </c>
      <c r="AZ1054" s="9">
        <v>185</v>
      </c>
    </row>
    <row r="1055" spans="2:52">
      <c r="B1055" t="str">
        <f t="shared" si="80"/>
        <v>Aug</v>
      </c>
      <c r="C1055" s="43">
        <f t="shared" si="81"/>
        <v>46250</v>
      </c>
      <c r="D1055" s="44">
        <f t="shared" si="82"/>
        <v>46248</v>
      </c>
      <c r="E1055" s="9" t="s">
        <v>39</v>
      </c>
      <c r="F1055">
        <f t="shared" si="83"/>
        <v>0</v>
      </c>
      <c r="G1055">
        <f t="shared" si="84"/>
        <v>187</v>
      </c>
      <c r="AJ1055" s="40">
        <v>46248</v>
      </c>
      <c r="AK1055" s="9" t="s">
        <v>205</v>
      </c>
      <c r="AL1055" s="9" t="s">
        <v>39</v>
      </c>
      <c r="AM1055" s="9"/>
      <c r="AN1055" s="9">
        <v>105</v>
      </c>
      <c r="AO1055" s="9">
        <v>93</v>
      </c>
      <c r="AP1055" s="9">
        <v>92</v>
      </c>
      <c r="AQ1055" s="9">
        <v>101</v>
      </c>
      <c r="AR1055" s="9">
        <v>221</v>
      </c>
      <c r="AS1055" s="9">
        <v>207</v>
      </c>
      <c r="AT1055" s="9">
        <v>216</v>
      </c>
      <c r="AU1055" s="9">
        <v>190</v>
      </c>
      <c r="AV1055" s="9">
        <v>182</v>
      </c>
      <c r="AW1055" s="9">
        <v>194</v>
      </c>
      <c r="AX1055" s="9">
        <v>201</v>
      </c>
      <c r="AY1055" s="9">
        <v>199</v>
      </c>
      <c r="AZ1055" s="9">
        <v>187</v>
      </c>
    </row>
    <row r="1056" spans="2:52">
      <c r="B1056" t="str">
        <f t="shared" si="80"/>
        <v>Aug</v>
      </c>
      <c r="C1056" s="43">
        <f t="shared" si="81"/>
        <v>46250</v>
      </c>
      <c r="D1056" s="44">
        <f t="shared" si="82"/>
        <v>46248</v>
      </c>
      <c r="E1056" s="9" t="s">
        <v>40</v>
      </c>
      <c r="F1056">
        <f t="shared" si="83"/>
        <v>0</v>
      </c>
      <c r="G1056">
        <f t="shared" si="84"/>
        <v>-234</v>
      </c>
      <c r="AJ1056" s="40">
        <v>46248</v>
      </c>
      <c r="AK1056" s="9" t="s">
        <v>205</v>
      </c>
      <c r="AL1056" s="9" t="s">
        <v>40</v>
      </c>
      <c r="AM1056" s="9"/>
      <c r="AN1056" s="9">
        <v>0</v>
      </c>
      <c r="AO1056" s="9">
        <v>37</v>
      </c>
      <c r="AP1056" s="9">
        <v>25</v>
      </c>
      <c r="AQ1056" s="9">
        <v>37</v>
      </c>
      <c r="AR1056" s="9">
        <v>41</v>
      </c>
      <c r="AS1056" s="9">
        <v>45</v>
      </c>
      <c r="AT1056" s="9">
        <v>51</v>
      </c>
      <c r="AU1056" s="9">
        <v>109</v>
      </c>
      <c r="AV1056" s="9">
        <v>0</v>
      </c>
      <c r="AW1056" s="9">
        <v>29</v>
      </c>
      <c r="AX1056" s="9">
        <v>38</v>
      </c>
      <c r="AY1056" s="9">
        <v>44</v>
      </c>
      <c r="AZ1056" s="9">
        <v>0</v>
      </c>
    </row>
    <row r="1057" spans="2:52">
      <c r="B1057" t="str">
        <f t="shared" si="80"/>
        <v>Aug</v>
      </c>
      <c r="C1057" s="43">
        <f t="shared" si="81"/>
        <v>46250</v>
      </c>
      <c r="D1057" s="44">
        <f t="shared" si="82"/>
        <v>46248</v>
      </c>
      <c r="E1057" s="9" t="s">
        <v>41</v>
      </c>
      <c r="F1057">
        <f t="shared" si="83"/>
        <v>0</v>
      </c>
      <c r="G1057">
        <f t="shared" si="84"/>
        <v>-45</v>
      </c>
      <c r="AJ1057" s="40">
        <v>46248</v>
      </c>
      <c r="AK1057" s="9" t="s">
        <v>41</v>
      </c>
      <c r="AL1057" s="9" t="s">
        <v>41</v>
      </c>
      <c r="AM1057" s="9"/>
      <c r="AN1057" s="9">
        <v>11</v>
      </c>
      <c r="AO1057" s="9">
        <v>10</v>
      </c>
      <c r="AP1057" s="9">
        <v>12</v>
      </c>
      <c r="AQ1057" s="9">
        <v>11</v>
      </c>
      <c r="AR1057" s="9">
        <v>0</v>
      </c>
      <c r="AS1057" s="9">
        <v>0</v>
      </c>
      <c r="AT1057" s="9">
        <v>0</v>
      </c>
      <c r="AU1057" s="9">
        <v>2</v>
      </c>
      <c r="AV1057" s="9">
        <v>0</v>
      </c>
      <c r="AW1057" s="9">
        <v>6</v>
      </c>
      <c r="AX1057" s="9">
        <v>0</v>
      </c>
      <c r="AY1057" s="9">
        <v>0</v>
      </c>
      <c r="AZ1057" s="9">
        <v>0</v>
      </c>
    </row>
    <row r="1058" spans="2:52">
      <c r="B1058" t="str">
        <f t="shared" si="80"/>
        <v>Aug</v>
      </c>
      <c r="C1058" s="43">
        <f t="shared" si="81"/>
        <v>46250</v>
      </c>
      <c r="D1058" s="44">
        <f t="shared" si="82"/>
        <v>46248</v>
      </c>
      <c r="E1058" s="9" t="s">
        <v>45</v>
      </c>
      <c r="F1058">
        <f t="shared" si="83"/>
        <v>0</v>
      </c>
      <c r="G1058">
        <f t="shared" si="84"/>
        <v>-43</v>
      </c>
      <c r="AJ1058" s="40">
        <v>46248</v>
      </c>
      <c r="AK1058" s="9" t="s">
        <v>202</v>
      </c>
      <c r="AL1058" s="9" t="s">
        <v>45</v>
      </c>
      <c r="AM1058" s="9"/>
      <c r="AN1058" s="9">
        <v>18</v>
      </c>
      <c r="AO1058" s="9">
        <v>24</v>
      </c>
      <c r="AP1058" s="9">
        <v>0</v>
      </c>
      <c r="AQ1058" s="9">
        <v>0</v>
      </c>
      <c r="AR1058" s="9">
        <v>0</v>
      </c>
      <c r="AS1058" s="9">
        <v>20</v>
      </c>
      <c r="AT1058" s="9">
        <v>26</v>
      </c>
      <c r="AU1058" s="9">
        <v>33</v>
      </c>
      <c r="AV1058" s="9">
        <v>37</v>
      </c>
      <c r="AW1058" s="9">
        <v>38</v>
      </c>
      <c r="AX1058" s="9">
        <v>0</v>
      </c>
      <c r="AY1058" s="9">
        <v>0</v>
      </c>
      <c r="AZ1058" s="9">
        <v>0</v>
      </c>
    </row>
    <row r="1059" spans="2:52">
      <c r="B1059" t="str">
        <f t="shared" si="80"/>
        <v>Aug</v>
      </c>
      <c r="C1059" s="43">
        <f t="shared" si="81"/>
        <v>46250</v>
      </c>
      <c r="D1059" s="44">
        <f t="shared" si="82"/>
        <v>46248</v>
      </c>
      <c r="E1059" s="9" t="s">
        <v>46</v>
      </c>
      <c r="F1059">
        <f t="shared" si="83"/>
        <v>0</v>
      </c>
      <c r="G1059">
        <f t="shared" si="84"/>
        <v>-3</v>
      </c>
      <c r="AJ1059" s="40">
        <v>46248</v>
      </c>
      <c r="AK1059" s="9" t="s">
        <v>202</v>
      </c>
      <c r="AL1059" s="9" t="s">
        <v>46</v>
      </c>
      <c r="AM1059" s="9"/>
      <c r="AN1059" s="9">
        <v>0</v>
      </c>
      <c r="AO1059" s="9">
        <v>0</v>
      </c>
      <c r="AP1059" s="9">
        <v>0</v>
      </c>
      <c r="AQ1059" s="9">
        <v>2</v>
      </c>
      <c r="AR1059" s="9">
        <v>4</v>
      </c>
      <c r="AS1059" s="9">
        <v>0</v>
      </c>
      <c r="AT1059" s="9">
        <v>13</v>
      </c>
      <c r="AU1059" s="9">
        <v>13</v>
      </c>
      <c r="AV1059" s="9">
        <v>16</v>
      </c>
      <c r="AW1059" s="9">
        <v>17</v>
      </c>
      <c r="AX1059" s="9">
        <v>22</v>
      </c>
      <c r="AY1059" s="9">
        <v>27</v>
      </c>
      <c r="AZ1059" s="9">
        <v>27</v>
      </c>
    </row>
    <row r="1060" spans="2:52">
      <c r="B1060" t="str">
        <f t="shared" si="80"/>
        <v>Aug</v>
      </c>
      <c r="C1060" s="43">
        <f t="shared" si="81"/>
        <v>46250</v>
      </c>
      <c r="D1060" s="44">
        <f t="shared" si="82"/>
        <v>46248</v>
      </c>
      <c r="E1060" s="9" t="s">
        <v>47</v>
      </c>
      <c r="F1060">
        <f t="shared" si="83"/>
        <v>0</v>
      </c>
      <c r="G1060">
        <f t="shared" si="84"/>
        <v>98</v>
      </c>
      <c r="AJ1060" s="40">
        <v>46248</v>
      </c>
      <c r="AK1060" s="9" t="s">
        <v>202</v>
      </c>
      <c r="AL1060" s="9" t="s">
        <v>47</v>
      </c>
      <c r="AM1060" s="9"/>
      <c r="AN1060" s="9">
        <v>0</v>
      </c>
      <c r="AO1060" s="9">
        <v>1</v>
      </c>
      <c r="AP1060" s="9">
        <v>5</v>
      </c>
      <c r="AQ1060" s="9">
        <v>1</v>
      </c>
      <c r="AR1060" s="9">
        <v>44</v>
      </c>
      <c r="AS1060" s="9">
        <v>48</v>
      </c>
      <c r="AT1060" s="9">
        <v>48</v>
      </c>
      <c r="AU1060" s="9">
        <v>48</v>
      </c>
      <c r="AV1060" s="9">
        <v>47</v>
      </c>
      <c r="AW1060" s="9">
        <v>142</v>
      </c>
      <c r="AX1060" s="9">
        <v>140</v>
      </c>
      <c r="AY1060" s="9">
        <v>166</v>
      </c>
      <c r="AZ1060" s="9">
        <v>168</v>
      </c>
    </row>
    <row r="1061" spans="2:52">
      <c r="B1061" t="str">
        <f t="shared" si="80"/>
        <v>Aug</v>
      </c>
      <c r="C1061" s="43">
        <f t="shared" si="81"/>
        <v>46250</v>
      </c>
      <c r="D1061" s="44">
        <f t="shared" si="82"/>
        <v>46248</v>
      </c>
      <c r="E1061" s="9" t="s">
        <v>206</v>
      </c>
      <c r="F1061">
        <f t="shared" si="83"/>
        <v>0</v>
      </c>
      <c r="G1061">
        <f t="shared" si="84"/>
        <v>27</v>
      </c>
      <c r="AJ1061" s="40">
        <v>46248</v>
      </c>
      <c r="AK1061" s="9" t="s">
        <v>43</v>
      </c>
      <c r="AL1061" s="9" t="s">
        <v>206</v>
      </c>
      <c r="AM1061" s="9"/>
      <c r="AN1061" s="9">
        <v>44</v>
      </c>
      <c r="AO1061" s="9">
        <v>42</v>
      </c>
      <c r="AP1061" s="9">
        <v>40</v>
      </c>
      <c r="AQ1061" s="9">
        <v>41</v>
      </c>
      <c r="AR1061" s="9">
        <v>33</v>
      </c>
      <c r="AS1061" s="9">
        <v>33</v>
      </c>
      <c r="AT1061" s="9">
        <v>61</v>
      </c>
      <c r="AU1061" s="9">
        <v>58</v>
      </c>
      <c r="AV1061" s="9">
        <v>50</v>
      </c>
      <c r="AW1061" s="9">
        <v>51</v>
      </c>
      <c r="AX1061" s="9">
        <v>51</v>
      </c>
      <c r="AY1061" s="9">
        <v>53</v>
      </c>
      <c r="AZ1061" s="9">
        <v>51</v>
      </c>
    </row>
    <row r="1062" spans="2:52">
      <c r="B1062" t="str">
        <f t="shared" si="80"/>
        <v>Aug</v>
      </c>
      <c r="C1062" s="43">
        <f t="shared" si="81"/>
        <v>46250</v>
      </c>
      <c r="D1062" s="44">
        <f t="shared" si="82"/>
        <v>46248</v>
      </c>
      <c r="E1062" s="9" t="s">
        <v>207</v>
      </c>
      <c r="F1062">
        <f t="shared" si="83"/>
        <v>0</v>
      </c>
      <c r="G1062">
        <f t="shared" si="84"/>
        <v>-39</v>
      </c>
      <c r="AJ1062" s="40">
        <v>46248</v>
      </c>
      <c r="AK1062" s="9" t="s">
        <v>203</v>
      </c>
      <c r="AL1062" s="9" t="s">
        <v>207</v>
      </c>
      <c r="AM1062" s="9"/>
      <c r="AN1062" s="9">
        <v>39</v>
      </c>
      <c r="AO1062" s="9">
        <v>95</v>
      </c>
      <c r="AP1062" s="9">
        <v>90</v>
      </c>
      <c r="AQ1062" s="9">
        <v>150</v>
      </c>
      <c r="AR1062" s="9">
        <v>148</v>
      </c>
      <c r="AS1062" s="9">
        <v>143</v>
      </c>
      <c r="AT1062" s="9">
        <v>148</v>
      </c>
      <c r="AU1062" s="9">
        <v>0</v>
      </c>
      <c r="AV1062" s="9">
        <v>25</v>
      </c>
      <c r="AW1062" s="9">
        <v>0</v>
      </c>
      <c r="AX1062" s="9">
        <v>0</v>
      </c>
      <c r="AY1062" s="9">
        <v>11</v>
      </c>
      <c r="AZ1062" s="9">
        <v>14</v>
      </c>
    </row>
    <row r="1063" spans="2:52">
      <c r="B1063" t="str">
        <f t="shared" si="80"/>
        <v>Aug</v>
      </c>
      <c r="C1063" s="43">
        <f t="shared" si="81"/>
        <v>46250</v>
      </c>
      <c r="D1063" s="44">
        <f t="shared" si="82"/>
        <v>46248</v>
      </c>
      <c r="E1063" s="9" t="s">
        <v>42</v>
      </c>
      <c r="F1063">
        <f t="shared" si="83"/>
        <v>0</v>
      </c>
      <c r="G1063">
        <f t="shared" si="84"/>
        <v>-2</v>
      </c>
      <c r="AJ1063" s="40">
        <v>46248</v>
      </c>
      <c r="AK1063" s="9" t="s">
        <v>42</v>
      </c>
      <c r="AL1063" s="9" t="s">
        <v>42</v>
      </c>
      <c r="AM1063" s="9"/>
      <c r="AN1063" s="9">
        <v>0</v>
      </c>
      <c r="AO1063" s="9">
        <v>0</v>
      </c>
      <c r="AP1063" s="9">
        <v>6</v>
      </c>
      <c r="AQ1063" s="9">
        <v>0</v>
      </c>
      <c r="AR1063" s="9">
        <v>0</v>
      </c>
      <c r="AS1063" s="9">
        <v>4</v>
      </c>
      <c r="AT1063" s="9">
        <v>2</v>
      </c>
      <c r="AU1063" s="9">
        <v>20</v>
      </c>
      <c r="AV1063" s="9">
        <v>0</v>
      </c>
      <c r="AW1063" s="9">
        <v>0</v>
      </c>
      <c r="AX1063" s="9">
        <v>0</v>
      </c>
      <c r="AY1063" s="9">
        <v>0</v>
      </c>
      <c r="AZ1063" s="9">
        <v>1</v>
      </c>
    </row>
    <row r="1064" spans="2:52">
      <c r="B1064" t="str">
        <f t="shared" si="80"/>
        <v>Aug</v>
      </c>
      <c r="C1064" s="43">
        <f t="shared" si="81"/>
        <v>46250</v>
      </c>
      <c r="D1064" s="44">
        <f t="shared" si="82"/>
        <v>46249</v>
      </c>
      <c r="E1064" s="9" t="s">
        <v>31</v>
      </c>
      <c r="F1064">
        <f t="shared" si="83"/>
        <v>0</v>
      </c>
      <c r="G1064">
        <f t="shared" si="84"/>
        <v>-156</v>
      </c>
      <c r="AJ1064" s="40">
        <v>46249</v>
      </c>
      <c r="AK1064" s="9" t="s">
        <v>204</v>
      </c>
      <c r="AL1064" s="9" t="s">
        <v>31</v>
      </c>
      <c r="AM1064" s="9"/>
      <c r="AN1064" s="9">
        <v>84</v>
      </c>
      <c r="AO1064" s="9">
        <v>0</v>
      </c>
      <c r="AP1064" s="9">
        <v>0</v>
      </c>
      <c r="AQ1064" s="9">
        <v>0</v>
      </c>
      <c r="AR1064" s="9">
        <v>0</v>
      </c>
      <c r="AS1064" s="9">
        <v>2</v>
      </c>
      <c r="AT1064" s="9">
        <v>6</v>
      </c>
      <c r="AU1064" s="9">
        <v>17</v>
      </c>
      <c r="AV1064" s="9">
        <v>0</v>
      </c>
      <c r="AW1064" s="9">
        <v>0</v>
      </c>
      <c r="AX1064" s="9">
        <v>0</v>
      </c>
      <c r="AY1064" s="9">
        <v>13</v>
      </c>
      <c r="AZ1064" s="9">
        <v>29</v>
      </c>
    </row>
    <row r="1065" spans="2:52">
      <c r="B1065" t="str">
        <f t="shared" si="80"/>
        <v>Aug</v>
      </c>
      <c r="C1065" s="43">
        <f t="shared" si="81"/>
        <v>46250</v>
      </c>
      <c r="D1065" s="44">
        <f t="shared" si="82"/>
        <v>46249</v>
      </c>
      <c r="E1065" s="9" t="s">
        <v>39</v>
      </c>
      <c r="F1065">
        <f t="shared" si="83"/>
        <v>0</v>
      </c>
      <c r="G1065">
        <f t="shared" si="84"/>
        <v>-136</v>
      </c>
      <c r="AJ1065" s="40">
        <v>46249</v>
      </c>
      <c r="AK1065" s="9" t="s">
        <v>205</v>
      </c>
      <c r="AL1065" s="9" t="s">
        <v>39</v>
      </c>
      <c r="AM1065" s="9"/>
      <c r="AN1065" s="9">
        <v>112</v>
      </c>
      <c r="AO1065" s="9">
        <v>103</v>
      </c>
      <c r="AP1065" s="9">
        <v>120</v>
      </c>
      <c r="AQ1065" s="9">
        <v>110</v>
      </c>
      <c r="AR1065" s="9">
        <v>80</v>
      </c>
      <c r="AS1065" s="9">
        <v>84</v>
      </c>
      <c r="AT1065" s="9">
        <v>69</v>
      </c>
      <c r="AU1065" s="9">
        <v>74</v>
      </c>
      <c r="AV1065" s="9">
        <v>131</v>
      </c>
      <c r="AW1065" s="9">
        <v>131</v>
      </c>
      <c r="AX1065" s="9">
        <v>117</v>
      </c>
      <c r="AY1065" s="9">
        <v>0</v>
      </c>
      <c r="AZ1065" s="9">
        <v>51</v>
      </c>
    </row>
    <row r="1066" spans="2:52">
      <c r="B1066" t="str">
        <f t="shared" si="80"/>
        <v>Aug</v>
      </c>
      <c r="C1066" s="43">
        <f t="shared" si="81"/>
        <v>46250</v>
      </c>
      <c r="D1066" s="44">
        <f t="shared" si="82"/>
        <v>46249</v>
      </c>
      <c r="E1066" s="9" t="s">
        <v>40</v>
      </c>
      <c r="F1066">
        <f t="shared" si="83"/>
        <v>0</v>
      </c>
      <c r="G1066">
        <f t="shared" si="84"/>
        <v>94</v>
      </c>
      <c r="AJ1066" s="40">
        <v>46249</v>
      </c>
      <c r="AK1066" s="9" t="s">
        <v>205</v>
      </c>
      <c r="AL1066" s="9" t="s">
        <v>40</v>
      </c>
      <c r="AM1066" s="9"/>
      <c r="AN1066" s="9">
        <v>27</v>
      </c>
      <c r="AO1066" s="9">
        <v>19</v>
      </c>
      <c r="AP1066" s="9">
        <v>18</v>
      </c>
      <c r="AQ1066" s="9">
        <v>20</v>
      </c>
      <c r="AR1066" s="9">
        <v>78</v>
      </c>
      <c r="AS1066" s="9">
        <v>73</v>
      </c>
      <c r="AT1066" s="9">
        <v>79</v>
      </c>
      <c r="AU1066" s="9">
        <v>88</v>
      </c>
      <c r="AV1066" s="9">
        <v>91</v>
      </c>
      <c r="AW1066" s="9">
        <v>103</v>
      </c>
      <c r="AX1066" s="9">
        <v>94</v>
      </c>
      <c r="AY1066" s="9">
        <v>98</v>
      </c>
      <c r="AZ1066" s="9">
        <v>94</v>
      </c>
    </row>
    <row r="1067" spans="2:52">
      <c r="B1067" t="str">
        <f t="shared" si="80"/>
        <v>Aug</v>
      </c>
      <c r="C1067" s="43">
        <f t="shared" si="81"/>
        <v>46250</v>
      </c>
      <c r="D1067" s="44">
        <f t="shared" si="82"/>
        <v>46249</v>
      </c>
      <c r="E1067" s="9" t="s">
        <v>41</v>
      </c>
      <c r="F1067">
        <f t="shared" si="83"/>
        <v>0</v>
      </c>
      <c r="G1067">
        <f t="shared" si="84"/>
        <v>0</v>
      </c>
      <c r="AJ1067" s="40">
        <v>46249</v>
      </c>
      <c r="AK1067" s="9" t="s">
        <v>41</v>
      </c>
      <c r="AL1067" s="9" t="s">
        <v>41</v>
      </c>
      <c r="AM1067" s="9"/>
      <c r="AN1067" s="9">
        <v>13</v>
      </c>
      <c r="AO1067" s="9">
        <v>0</v>
      </c>
      <c r="AP1067" s="9">
        <v>0</v>
      </c>
      <c r="AQ1067" s="9">
        <v>0</v>
      </c>
      <c r="AR1067" s="9">
        <v>0</v>
      </c>
      <c r="AS1067" s="9">
        <v>0</v>
      </c>
      <c r="AT1067" s="9">
        <v>5</v>
      </c>
      <c r="AU1067" s="9">
        <v>5</v>
      </c>
      <c r="AV1067" s="9">
        <v>5</v>
      </c>
      <c r="AW1067" s="9">
        <v>25</v>
      </c>
      <c r="AX1067" s="9">
        <v>21</v>
      </c>
      <c r="AY1067" s="9">
        <v>0</v>
      </c>
      <c r="AZ1067" s="9">
        <v>0</v>
      </c>
    </row>
    <row r="1068" spans="2:52">
      <c r="B1068" t="str">
        <f t="shared" si="80"/>
        <v>Aug</v>
      </c>
      <c r="C1068" s="43">
        <f t="shared" si="81"/>
        <v>46250</v>
      </c>
      <c r="D1068" s="44">
        <f t="shared" si="82"/>
        <v>46249</v>
      </c>
      <c r="E1068" s="9" t="s">
        <v>45</v>
      </c>
      <c r="F1068">
        <f t="shared" si="83"/>
        <v>0</v>
      </c>
      <c r="G1068">
        <f t="shared" si="84"/>
        <v>46</v>
      </c>
      <c r="AJ1068" s="40">
        <v>46249</v>
      </c>
      <c r="AK1068" s="9" t="s">
        <v>202</v>
      </c>
      <c r="AL1068" s="9" t="s">
        <v>45</v>
      </c>
      <c r="AM1068" s="9"/>
      <c r="AN1068" s="9">
        <v>13</v>
      </c>
      <c r="AO1068" s="9">
        <v>11</v>
      </c>
      <c r="AP1068" s="9">
        <v>0</v>
      </c>
      <c r="AQ1068" s="9">
        <v>0</v>
      </c>
      <c r="AR1068" s="9">
        <v>23</v>
      </c>
      <c r="AS1068" s="9">
        <v>23</v>
      </c>
      <c r="AT1068" s="9">
        <v>57</v>
      </c>
      <c r="AU1068" s="9">
        <v>50</v>
      </c>
      <c r="AV1068" s="9">
        <v>49</v>
      </c>
      <c r="AW1068" s="9">
        <v>45</v>
      </c>
      <c r="AX1068" s="9">
        <v>41</v>
      </c>
      <c r="AY1068" s="9">
        <v>48</v>
      </c>
      <c r="AZ1068" s="9">
        <v>46</v>
      </c>
    </row>
    <row r="1069" spans="2:52">
      <c r="B1069" t="str">
        <f t="shared" si="80"/>
        <v>Aug</v>
      </c>
      <c r="C1069" s="43">
        <f t="shared" si="81"/>
        <v>46250</v>
      </c>
      <c r="D1069" s="44">
        <f t="shared" si="82"/>
        <v>46249</v>
      </c>
      <c r="E1069" s="9" t="s">
        <v>46</v>
      </c>
      <c r="F1069">
        <f t="shared" si="83"/>
        <v>0</v>
      </c>
      <c r="G1069">
        <f t="shared" si="84"/>
        <v>-27</v>
      </c>
      <c r="AJ1069" s="40">
        <v>46249</v>
      </c>
      <c r="AK1069" s="9" t="s">
        <v>202</v>
      </c>
      <c r="AL1069" s="9" t="s">
        <v>46</v>
      </c>
      <c r="AM1069" s="9"/>
      <c r="AN1069" s="9">
        <v>41</v>
      </c>
      <c r="AO1069" s="9">
        <v>0</v>
      </c>
      <c r="AP1069" s="9">
        <v>0</v>
      </c>
      <c r="AQ1069" s="9">
        <v>5</v>
      </c>
      <c r="AR1069" s="9">
        <v>10</v>
      </c>
      <c r="AS1069" s="9">
        <v>15</v>
      </c>
      <c r="AT1069" s="9">
        <v>4</v>
      </c>
      <c r="AU1069" s="9">
        <v>8</v>
      </c>
      <c r="AV1069" s="9">
        <v>9</v>
      </c>
      <c r="AW1069" s="9">
        <v>1</v>
      </c>
      <c r="AX1069" s="9">
        <v>46</v>
      </c>
      <c r="AY1069" s="9">
        <v>43</v>
      </c>
      <c r="AZ1069" s="9">
        <v>0</v>
      </c>
    </row>
    <row r="1070" spans="2:52">
      <c r="B1070" t="str">
        <f t="shared" si="80"/>
        <v>Aug</v>
      </c>
      <c r="C1070" s="43">
        <f t="shared" si="81"/>
        <v>46250</v>
      </c>
      <c r="D1070" s="44">
        <f t="shared" si="82"/>
        <v>46249</v>
      </c>
      <c r="E1070" s="9" t="s">
        <v>47</v>
      </c>
      <c r="F1070">
        <f t="shared" si="83"/>
        <v>0</v>
      </c>
      <c r="G1070">
        <f t="shared" si="84"/>
        <v>-153</v>
      </c>
      <c r="AJ1070" s="40">
        <v>46249</v>
      </c>
      <c r="AK1070" s="9" t="s">
        <v>202</v>
      </c>
      <c r="AL1070" s="9" t="s">
        <v>47</v>
      </c>
      <c r="AM1070" s="9"/>
      <c r="AN1070" s="9">
        <v>34</v>
      </c>
      <c r="AO1070" s="9">
        <v>37</v>
      </c>
      <c r="AP1070" s="9">
        <v>66</v>
      </c>
      <c r="AQ1070" s="9">
        <v>68</v>
      </c>
      <c r="AR1070" s="9">
        <v>0</v>
      </c>
      <c r="AS1070" s="9">
        <v>3</v>
      </c>
      <c r="AT1070" s="9">
        <v>7</v>
      </c>
      <c r="AU1070" s="9">
        <v>0</v>
      </c>
      <c r="AV1070" s="9">
        <v>16</v>
      </c>
      <c r="AW1070" s="9">
        <v>17</v>
      </c>
      <c r="AX1070" s="9">
        <v>15</v>
      </c>
      <c r="AY1070" s="9">
        <v>19</v>
      </c>
      <c r="AZ1070" s="9">
        <v>15</v>
      </c>
    </row>
    <row r="1071" spans="2:52">
      <c r="B1071" t="str">
        <f t="shared" si="80"/>
        <v>Aug</v>
      </c>
      <c r="C1071" s="43">
        <f t="shared" si="81"/>
        <v>46250</v>
      </c>
      <c r="D1071" s="44">
        <f t="shared" si="82"/>
        <v>46249</v>
      </c>
      <c r="E1071" s="9" t="s">
        <v>206</v>
      </c>
      <c r="F1071">
        <f t="shared" si="83"/>
        <v>0</v>
      </c>
      <c r="G1071">
        <f t="shared" si="84"/>
        <v>-36</v>
      </c>
      <c r="AJ1071" s="40">
        <v>46249</v>
      </c>
      <c r="AK1071" s="9" t="s">
        <v>43</v>
      </c>
      <c r="AL1071" s="9" t="s">
        <v>206</v>
      </c>
      <c r="AM1071" s="9"/>
      <c r="AN1071" s="9">
        <v>60</v>
      </c>
      <c r="AO1071" s="9">
        <v>0</v>
      </c>
      <c r="AP1071" s="9">
        <v>14</v>
      </c>
      <c r="AQ1071" s="9">
        <v>23</v>
      </c>
      <c r="AR1071" s="9">
        <v>115</v>
      </c>
      <c r="AS1071" s="9">
        <v>109</v>
      </c>
      <c r="AT1071" s="9">
        <v>137</v>
      </c>
      <c r="AU1071" s="9">
        <v>0</v>
      </c>
      <c r="AV1071" s="9">
        <v>6</v>
      </c>
      <c r="AW1071" s="9">
        <v>1</v>
      </c>
      <c r="AX1071" s="9">
        <v>0</v>
      </c>
      <c r="AY1071" s="9">
        <v>8</v>
      </c>
      <c r="AZ1071" s="9">
        <v>15</v>
      </c>
    </row>
    <row r="1072" spans="2:52">
      <c r="B1072" t="str">
        <f t="shared" si="80"/>
        <v>Aug</v>
      </c>
      <c r="C1072" s="43">
        <f t="shared" si="81"/>
        <v>46250</v>
      </c>
      <c r="D1072" s="44">
        <f t="shared" si="82"/>
        <v>46249</v>
      </c>
      <c r="E1072" s="9" t="s">
        <v>207</v>
      </c>
      <c r="F1072">
        <f t="shared" si="83"/>
        <v>0</v>
      </c>
      <c r="G1072">
        <f t="shared" si="84"/>
        <v>96</v>
      </c>
      <c r="AJ1072" s="40">
        <v>46249</v>
      </c>
      <c r="AK1072" s="9" t="s">
        <v>203</v>
      </c>
      <c r="AL1072" s="9" t="s">
        <v>207</v>
      </c>
      <c r="AM1072" s="9"/>
      <c r="AN1072" s="9">
        <v>30</v>
      </c>
      <c r="AO1072" s="9">
        <v>0</v>
      </c>
      <c r="AP1072" s="9">
        <v>10</v>
      </c>
      <c r="AQ1072" s="9">
        <v>0</v>
      </c>
      <c r="AR1072" s="9">
        <v>31</v>
      </c>
      <c r="AS1072" s="9">
        <v>36</v>
      </c>
      <c r="AT1072" s="9">
        <v>37</v>
      </c>
      <c r="AU1072" s="9">
        <v>0</v>
      </c>
      <c r="AV1072" s="9">
        <v>64</v>
      </c>
      <c r="AW1072" s="9">
        <v>59</v>
      </c>
      <c r="AX1072" s="9">
        <v>68</v>
      </c>
      <c r="AY1072" s="9">
        <v>61</v>
      </c>
      <c r="AZ1072" s="9">
        <v>110</v>
      </c>
    </row>
    <row r="1073" spans="2:52">
      <c r="B1073" t="str">
        <f t="shared" si="80"/>
        <v>Aug</v>
      </c>
      <c r="C1073" s="43">
        <f t="shared" si="81"/>
        <v>46250</v>
      </c>
      <c r="D1073" s="44">
        <f t="shared" si="82"/>
        <v>46249</v>
      </c>
      <c r="E1073" s="9" t="s">
        <v>42</v>
      </c>
      <c r="F1073">
        <f t="shared" si="83"/>
        <v>0</v>
      </c>
      <c r="G1073">
        <f t="shared" si="84"/>
        <v>56</v>
      </c>
      <c r="AJ1073" s="40">
        <v>46249</v>
      </c>
      <c r="AK1073" s="9" t="s">
        <v>42</v>
      </c>
      <c r="AL1073" s="9" t="s">
        <v>42</v>
      </c>
      <c r="AM1073" s="9"/>
      <c r="AN1073" s="9">
        <v>42</v>
      </c>
      <c r="AO1073" s="9">
        <v>41</v>
      </c>
      <c r="AP1073" s="9">
        <v>39</v>
      </c>
      <c r="AQ1073" s="9">
        <v>38</v>
      </c>
      <c r="AR1073" s="9">
        <v>33</v>
      </c>
      <c r="AS1073" s="9">
        <v>0</v>
      </c>
      <c r="AT1073" s="9">
        <v>0</v>
      </c>
      <c r="AU1073" s="9">
        <v>0</v>
      </c>
      <c r="AV1073" s="9">
        <v>0</v>
      </c>
      <c r="AW1073" s="9">
        <v>6</v>
      </c>
      <c r="AX1073" s="9">
        <v>58</v>
      </c>
      <c r="AY1073" s="9">
        <v>57</v>
      </c>
      <c r="AZ1073" s="9">
        <v>57</v>
      </c>
    </row>
    <row r="1074" spans="2:52">
      <c r="B1074" t="str">
        <f t="shared" si="80"/>
        <v>Aug</v>
      </c>
      <c r="C1074" s="43">
        <f t="shared" si="81"/>
        <v>46257</v>
      </c>
      <c r="D1074" s="44">
        <f t="shared" si="82"/>
        <v>46250</v>
      </c>
      <c r="E1074" s="9" t="s">
        <v>31</v>
      </c>
      <c r="F1074">
        <f t="shared" si="83"/>
        <v>0</v>
      </c>
      <c r="G1074">
        <f t="shared" si="84"/>
        <v>18</v>
      </c>
      <c r="AJ1074" s="40">
        <v>46250</v>
      </c>
      <c r="AK1074" s="9" t="s">
        <v>204</v>
      </c>
      <c r="AL1074" s="9" t="s">
        <v>31</v>
      </c>
      <c r="AM1074" s="9"/>
      <c r="AN1074" s="9">
        <v>0</v>
      </c>
      <c r="AO1074" s="9">
        <v>36</v>
      </c>
      <c r="AP1074" s="9">
        <v>0</v>
      </c>
      <c r="AQ1074" s="9">
        <v>16</v>
      </c>
      <c r="AR1074" s="9">
        <v>6</v>
      </c>
      <c r="AS1074" s="9">
        <v>17</v>
      </c>
      <c r="AT1074" s="9">
        <v>0</v>
      </c>
      <c r="AU1074" s="9">
        <v>4</v>
      </c>
      <c r="AV1074" s="9">
        <v>53</v>
      </c>
      <c r="AW1074" s="9">
        <v>0</v>
      </c>
      <c r="AX1074" s="9">
        <v>60</v>
      </c>
      <c r="AY1074" s="9">
        <v>53</v>
      </c>
      <c r="AZ1074" s="9">
        <v>47</v>
      </c>
    </row>
    <row r="1075" spans="2:52">
      <c r="B1075" t="str">
        <f t="shared" si="80"/>
        <v>Aug</v>
      </c>
      <c r="C1075" s="43">
        <f t="shared" si="81"/>
        <v>46257</v>
      </c>
      <c r="D1075" s="44">
        <f t="shared" si="82"/>
        <v>46250</v>
      </c>
      <c r="E1075" s="9" t="s">
        <v>39</v>
      </c>
      <c r="F1075">
        <f t="shared" si="83"/>
        <v>0</v>
      </c>
      <c r="G1075">
        <f t="shared" si="84"/>
        <v>40</v>
      </c>
      <c r="AJ1075" s="40">
        <v>46250</v>
      </c>
      <c r="AK1075" s="9" t="s">
        <v>205</v>
      </c>
      <c r="AL1075" s="9" t="s">
        <v>39</v>
      </c>
      <c r="AM1075" s="9"/>
      <c r="AN1075" s="9">
        <v>100</v>
      </c>
      <c r="AO1075" s="9">
        <v>137</v>
      </c>
      <c r="AP1075" s="9">
        <v>111</v>
      </c>
      <c r="AQ1075" s="9">
        <v>102</v>
      </c>
      <c r="AR1075" s="9">
        <v>72</v>
      </c>
      <c r="AS1075" s="9">
        <v>65</v>
      </c>
      <c r="AT1075" s="9">
        <v>50</v>
      </c>
      <c r="AU1075" s="9">
        <v>61</v>
      </c>
      <c r="AV1075" s="9">
        <v>66</v>
      </c>
      <c r="AW1075" s="9">
        <v>65</v>
      </c>
      <c r="AX1075" s="9">
        <v>60</v>
      </c>
      <c r="AY1075" s="9">
        <v>77</v>
      </c>
      <c r="AZ1075" s="9">
        <v>91</v>
      </c>
    </row>
    <row r="1076" spans="2:52">
      <c r="B1076" t="str">
        <f t="shared" si="80"/>
        <v>Aug</v>
      </c>
      <c r="C1076" s="43">
        <f t="shared" si="81"/>
        <v>46257</v>
      </c>
      <c r="D1076" s="44">
        <f t="shared" si="82"/>
        <v>46250</v>
      </c>
      <c r="E1076" s="9" t="s">
        <v>40</v>
      </c>
      <c r="F1076">
        <f t="shared" si="83"/>
        <v>0</v>
      </c>
      <c r="G1076">
        <f t="shared" si="84"/>
        <v>8</v>
      </c>
      <c r="AJ1076" s="40">
        <v>46250</v>
      </c>
      <c r="AK1076" s="9" t="s">
        <v>205</v>
      </c>
      <c r="AL1076" s="9" t="s">
        <v>40</v>
      </c>
      <c r="AM1076" s="9"/>
      <c r="AN1076" s="9">
        <v>25</v>
      </c>
      <c r="AO1076" s="9">
        <v>30</v>
      </c>
      <c r="AP1076" s="9">
        <v>21</v>
      </c>
      <c r="AQ1076" s="9">
        <v>0</v>
      </c>
      <c r="AR1076" s="9">
        <v>1</v>
      </c>
      <c r="AS1076" s="9">
        <v>0</v>
      </c>
      <c r="AT1076" s="9">
        <v>17</v>
      </c>
      <c r="AU1076" s="9">
        <v>20</v>
      </c>
      <c r="AV1076" s="9">
        <v>18</v>
      </c>
      <c r="AW1076" s="9">
        <v>29</v>
      </c>
      <c r="AX1076" s="9">
        <v>37</v>
      </c>
      <c r="AY1076" s="9">
        <v>96</v>
      </c>
      <c r="AZ1076" s="9">
        <v>102</v>
      </c>
    </row>
    <row r="1077" spans="2:52">
      <c r="B1077" t="str">
        <f t="shared" si="80"/>
        <v>Aug</v>
      </c>
      <c r="C1077" s="43">
        <f t="shared" si="81"/>
        <v>46257</v>
      </c>
      <c r="D1077" s="44">
        <f t="shared" si="82"/>
        <v>46250</v>
      </c>
      <c r="E1077" s="9" t="s">
        <v>41</v>
      </c>
      <c r="F1077">
        <f t="shared" si="83"/>
        <v>0</v>
      </c>
      <c r="G1077">
        <f t="shared" si="84"/>
        <v>5</v>
      </c>
      <c r="AJ1077" s="40">
        <v>46250</v>
      </c>
      <c r="AK1077" s="9" t="s">
        <v>41</v>
      </c>
      <c r="AL1077" s="9" t="s">
        <v>41</v>
      </c>
      <c r="AM1077" s="9"/>
      <c r="AN1077" s="9">
        <v>21</v>
      </c>
      <c r="AO1077" s="9">
        <v>24</v>
      </c>
      <c r="AP1077" s="9">
        <v>0</v>
      </c>
      <c r="AQ1077" s="9">
        <v>4</v>
      </c>
      <c r="AR1077" s="9">
        <v>6</v>
      </c>
      <c r="AS1077" s="9">
        <v>7</v>
      </c>
      <c r="AT1077" s="9">
        <v>7</v>
      </c>
      <c r="AU1077" s="9">
        <v>0</v>
      </c>
      <c r="AV1077" s="9">
        <v>14</v>
      </c>
      <c r="AW1077" s="9">
        <v>0</v>
      </c>
      <c r="AX1077" s="9">
        <v>1</v>
      </c>
      <c r="AY1077" s="9">
        <v>2</v>
      </c>
      <c r="AZ1077" s="9">
        <v>5</v>
      </c>
    </row>
    <row r="1078" spans="2:52">
      <c r="B1078" t="str">
        <f t="shared" si="80"/>
        <v>Aug</v>
      </c>
      <c r="C1078" s="43">
        <f t="shared" si="81"/>
        <v>46257</v>
      </c>
      <c r="D1078" s="44">
        <f t="shared" si="82"/>
        <v>46250</v>
      </c>
      <c r="E1078" s="9" t="s">
        <v>45</v>
      </c>
      <c r="F1078">
        <f t="shared" si="83"/>
        <v>0</v>
      </c>
      <c r="G1078">
        <f t="shared" si="84"/>
        <v>10</v>
      </c>
      <c r="AJ1078" s="40">
        <v>46250</v>
      </c>
      <c r="AK1078" s="9" t="s">
        <v>202</v>
      </c>
      <c r="AL1078" s="9" t="s">
        <v>45</v>
      </c>
      <c r="AM1078" s="9"/>
      <c r="AN1078" s="9">
        <v>49</v>
      </c>
      <c r="AO1078" s="9">
        <v>110</v>
      </c>
      <c r="AP1078" s="9">
        <v>110</v>
      </c>
      <c r="AQ1078" s="9">
        <v>115</v>
      </c>
      <c r="AR1078" s="9">
        <v>112</v>
      </c>
      <c r="AS1078" s="9">
        <v>0</v>
      </c>
      <c r="AT1078" s="9">
        <v>21</v>
      </c>
      <c r="AU1078" s="9">
        <v>22</v>
      </c>
      <c r="AV1078" s="9">
        <v>20</v>
      </c>
      <c r="AW1078" s="9">
        <v>22</v>
      </c>
      <c r="AX1078" s="9">
        <v>18</v>
      </c>
      <c r="AY1078" s="9">
        <v>24</v>
      </c>
      <c r="AZ1078" s="9">
        <v>56</v>
      </c>
    </row>
    <row r="1079" spans="2:52">
      <c r="B1079" t="str">
        <f t="shared" si="80"/>
        <v>Aug</v>
      </c>
      <c r="C1079" s="43">
        <f t="shared" si="81"/>
        <v>46257</v>
      </c>
      <c r="D1079" s="44">
        <f t="shared" si="82"/>
        <v>46250</v>
      </c>
      <c r="E1079" s="9" t="s">
        <v>46</v>
      </c>
      <c r="F1079">
        <f t="shared" si="83"/>
        <v>0</v>
      </c>
      <c r="G1079">
        <f t="shared" si="84"/>
        <v>62</v>
      </c>
      <c r="AJ1079" s="40">
        <v>46250</v>
      </c>
      <c r="AK1079" s="9" t="s">
        <v>202</v>
      </c>
      <c r="AL1079" s="9" t="s">
        <v>46</v>
      </c>
      <c r="AM1079" s="9"/>
      <c r="AN1079" s="9">
        <v>5</v>
      </c>
      <c r="AO1079" s="9">
        <v>5</v>
      </c>
      <c r="AP1079" s="9">
        <v>3</v>
      </c>
      <c r="AQ1079" s="9">
        <v>0</v>
      </c>
      <c r="AR1079" s="9">
        <v>0</v>
      </c>
      <c r="AS1079" s="9">
        <v>7</v>
      </c>
      <c r="AT1079" s="9">
        <v>4</v>
      </c>
      <c r="AU1079" s="9">
        <v>0</v>
      </c>
      <c r="AV1079" s="9">
        <v>1</v>
      </c>
      <c r="AW1079" s="9">
        <v>6</v>
      </c>
      <c r="AX1079" s="9">
        <v>0</v>
      </c>
      <c r="AY1079" s="9">
        <v>13</v>
      </c>
      <c r="AZ1079" s="9">
        <v>62</v>
      </c>
    </row>
    <row r="1080" spans="2:52">
      <c r="B1080" t="str">
        <f t="shared" si="80"/>
        <v>Aug</v>
      </c>
      <c r="C1080" s="43">
        <f t="shared" si="81"/>
        <v>46257</v>
      </c>
      <c r="D1080" s="44">
        <f t="shared" si="82"/>
        <v>46250</v>
      </c>
      <c r="E1080" s="9" t="s">
        <v>47</v>
      </c>
      <c r="F1080">
        <f t="shared" si="83"/>
        <v>0</v>
      </c>
      <c r="G1080">
        <f t="shared" si="84"/>
        <v>27</v>
      </c>
      <c r="AJ1080" s="40">
        <v>46250</v>
      </c>
      <c r="AK1080" s="9" t="s">
        <v>202</v>
      </c>
      <c r="AL1080" s="9" t="s">
        <v>47</v>
      </c>
      <c r="AM1080" s="9"/>
      <c r="AN1080" s="9">
        <v>31</v>
      </c>
      <c r="AO1080" s="9">
        <v>31</v>
      </c>
      <c r="AP1080" s="9">
        <v>32</v>
      </c>
      <c r="AQ1080" s="9">
        <v>50</v>
      </c>
      <c r="AR1080" s="9">
        <v>0</v>
      </c>
      <c r="AS1080" s="9">
        <v>0</v>
      </c>
      <c r="AT1080" s="9">
        <v>12</v>
      </c>
      <c r="AU1080" s="9">
        <v>11</v>
      </c>
      <c r="AV1080" s="9">
        <v>0</v>
      </c>
      <c r="AW1080" s="9">
        <v>0</v>
      </c>
      <c r="AX1080" s="9">
        <v>35</v>
      </c>
      <c r="AY1080" s="9">
        <v>39</v>
      </c>
      <c r="AZ1080" s="9">
        <v>42</v>
      </c>
    </row>
    <row r="1081" spans="2:52">
      <c r="B1081" t="str">
        <f t="shared" si="80"/>
        <v>Aug</v>
      </c>
      <c r="C1081" s="43">
        <f t="shared" si="81"/>
        <v>46257</v>
      </c>
      <c r="D1081" s="44">
        <f t="shared" si="82"/>
        <v>46250</v>
      </c>
      <c r="E1081" s="9" t="s">
        <v>206</v>
      </c>
      <c r="F1081">
        <f t="shared" si="83"/>
        <v>0</v>
      </c>
      <c r="G1081">
        <f t="shared" si="84"/>
        <v>11</v>
      </c>
      <c r="AJ1081" s="40">
        <v>46250</v>
      </c>
      <c r="AK1081" s="9" t="s">
        <v>43</v>
      </c>
      <c r="AL1081" s="9" t="s">
        <v>206</v>
      </c>
      <c r="AM1081" s="9"/>
      <c r="AN1081" s="9">
        <v>58</v>
      </c>
      <c r="AO1081" s="9">
        <v>50</v>
      </c>
      <c r="AP1081" s="9">
        <v>57</v>
      </c>
      <c r="AQ1081" s="9">
        <v>0</v>
      </c>
      <c r="AR1081" s="9">
        <v>193</v>
      </c>
      <c r="AS1081" s="9">
        <v>202</v>
      </c>
      <c r="AT1081" s="9">
        <v>205</v>
      </c>
      <c r="AU1081" s="9">
        <v>0</v>
      </c>
      <c r="AV1081" s="9">
        <v>0</v>
      </c>
      <c r="AW1081" s="9">
        <v>16</v>
      </c>
      <c r="AX1081" s="9">
        <v>22</v>
      </c>
      <c r="AY1081" s="9">
        <v>0</v>
      </c>
      <c r="AZ1081" s="9">
        <v>26</v>
      </c>
    </row>
    <row r="1082" spans="2:52">
      <c r="B1082" t="str">
        <f t="shared" si="80"/>
        <v>Aug</v>
      </c>
      <c r="C1082" s="43">
        <f t="shared" si="81"/>
        <v>46257</v>
      </c>
      <c r="D1082" s="44">
        <f t="shared" si="82"/>
        <v>46250</v>
      </c>
      <c r="E1082" s="9" t="s">
        <v>207</v>
      </c>
      <c r="F1082">
        <f t="shared" si="83"/>
        <v>0</v>
      </c>
      <c r="G1082">
        <f t="shared" si="84"/>
        <v>-106</v>
      </c>
      <c r="AJ1082" s="40">
        <v>46250</v>
      </c>
      <c r="AK1082" s="9" t="s">
        <v>203</v>
      </c>
      <c r="AL1082" s="9" t="s">
        <v>207</v>
      </c>
      <c r="AM1082" s="9"/>
      <c r="AN1082" s="9">
        <v>28</v>
      </c>
      <c r="AO1082" s="9">
        <v>20</v>
      </c>
      <c r="AP1082" s="9">
        <v>18</v>
      </c>
      <c r="AQ1082" s="9">
        <v>0</v>
      </c>
      <c r="AR1082" s="9">
        <v>2</v>
      </c>
      <c r="AS1082" s="9">
        <v>0</v>
      </c>
      <c r="AT1082" s="9">
        <v>23</v>
      </c>
      <c r="AU1082" s="9">
        <v>16</v>
      </c>
      <c r="AV1082" s="9">
        <v>14</v>
      </c>
      <c r="AW1082" s="9">
        <v>7</v>
      </c>
      <c r="AX1082" s="9">
        <v>0</v>
      </c>
      <c r="AY1082" s="9">
        <v>0</v>
      </c>
      <c r="AZ1082" s="9">
        <v>4</v>
      </c>
    </row>
    <row r="1083" spans="2:52">
      <c r="B1083" t="str">
        <f t="shared" si="80"/>
        <v>Aug</v>
      </c>
      <c r="C1083" s="43">
        <f t="shared" si="81"/>
        <v>46257</v>
      </c>
      <c r="D1083" s="44">
        <f t="shared" si="82"/>
        <v>46250</v>
      </c>
      <c r="E1083" s="9" t="s">
        <v>42</v>
      </c>
      <c r="F1083">
        <f t="shared" si="83"/>
        <v>0</v>
      </c>
      <c r="G1083">
        <f t="shared" si="84"/>
        <v>-57</v>
      </c>
      <c r="AJ1083" s="40">
        <v>46250</v>
      </c>
      <c r="AK1083" s="9" t="s">
        <v>42</v>
      </c>
      <c r="AL1083" s="9" t="s">
        <v>42</v>
      </c>
      <c r="AM1083" s="9"/>
      <c r="AN1083" s="9">
        <v>0</v>
      </c>
      <c r="AO1083" s="9">
        <v>21</v>
      </c>
      <c r="AP1083" s="9">
        <v>0</v>
      </c>
      <c r="AQ1083" s="9">
        <v>5</v>
      </c>
      <c r="AR1083" s="9">
        <v>3</v>
      </c>
      <c r="AS1083" s="9">
        <v>2</v>
      </c>
      <c r="AT1083" s="9">
        <v>0</v>
      </c>
      <c r="AU1083" s="9">
        <v>0</v>
      </c>
      <c r="AV1083" s="9">
        <v>169</v>
      </c>
      <c r="AW1083" s="9">
        <v>0</v>
      </c>
      <c r="AX1083" s="9">
        <v>0</v>
      </c>
      <c r="AY1083" s="9">
        <v>10</v>
      </c>
      <c r="AZ1083" s="9">
        <v>0</v>
      </c>
    </row>
    <row r="1084" spans="2:52">
      <c r="B1084" t="str">
        <f t="shared" si="80"/>
        <v>Aug</v>
      </c>
      <c r="C1084" s="43">
        <f t="shared" si="81"/>
        <v>46257</v>
      </c>
      <c r="D1084" s="44">
        <f t="shared" si="82"/>
        <v>46251</v>
      </c>
      <c r="E1084" s="9" t="s">
        <v>31</v>
      </c>
      <c r="F1084">
        <f t="shared" si="83"/>
        <v>0</v>
      </c>
      <c r="G1084">
        <f t="shared" si="84"/>
        <v>33</v>
      </c>
      <c r="AJ1084" s="40">
        <v>46251</v>
      </c>
      <c r="AK1084" s="9" t="s">
        <v>204</v>
      </c>
      <c r="AL1084" s="9" t="s">
        <v>31</v>
      </c>
      <c r="AM1084" s="9"/>
      <c r="AN1084" s="9">
        <v>104</v>
      </c>
      <c r="AO1084" s="9">
        <v>114</v>
      </c>
      <c r="AP1084" s="9">
        <v>121</v>
      </c>
      <c r="AQ1084" s="9">
        <v>110</v>
      </c>
      <c r="AR1084" s="9">
        <v>94</v>
      </c>
      <c r="AS1084" s="9">
        <v>80</v>
      </c>
      <c r="AT1084" s="9">
        <v>88</v>
      </c>
      <c r="AU1084" s="9">
        <v>63</v>
      </c>
      <c r="AV1084" s="9">
        <v>64</v>
      </c>
      <c r="AW1084" s="9">
        <v>69</v>
      </c>
      <c r="AX1084" s="9">
        <v>69</v>
      </c>
      <c r="AY1084" s="9">
        <v>77</v>
      </c>
      <c r="AZ1084" s="9">
        <v>80</v>
      </c>
    </row>
    <row r="1085" spans="2:52">
      <c r="B1085" t="str">
        <f t="shared" si="80"/>
        <v>Aug</v>
      </c>
      <c r="C1085" s="43">
        <f t="shared" si="81"/>
        <v>46257</v>
      </c>
      <c r="D1085" s="44">
        <f t="shared" si="82"/>
        <v>46251</v>
      </c>
      <c r="E1085" s="9" t="s">
        <v>39</v>
      </c>
      <c r="F1085">
        <f t="shared" si="83"/>
        <v>0</v>
      </c>
      <c r="G1085">
        <f t="shared" si="84"/>
        <v>-33</v>
      </c>
      <c r="AJ1085" s="40">
        <v>46251</v>
      </c>
      <c r="AK1085" s="9" t="s">
        <v>205</v>
      </c>
      <c r="AL1085" s="9" t="s">
        <v>39</v>
      </c>
      <c r="AM1085" s="9"/>
      <c r="AN1085" s="9">
        <v>37</v>
      </c>
      <c r="AO1085" s="9">
        <v>82</v>
      </c>
      <c r="AP1085" s="9">
        <v>71</v>
      </c>
      <c r="AQ1085" s="9">
        <v>61</v>
      </c>
      <c r="AR1085" s="9">
        <v>71</v>
      </c>
      <c r="AS1085" s="9">
        <v>75</v>
      </c>
      <c r="AT1085" s="9">
        <v>69</v>
      </c>
      <c r="AU1085" s="9">
        <v>33</v>
      </c>
      <c r="AV1085" s="9">
        <v>39</v>
      </c>
      <c r="AW1085" s="9">
        <v>45</v>
      </c>
      <c r="AX1085" s="9">
        <v>0</v>
      </c>
      <c r="AY1085" s="9">
        <v>60</v>
      </c>
      <c r="AZ1085" s="9">
        <v>58</v>
      </c>
    </row>
    <row r="1086" spans="2:52">
      <c r="B1086" t="str">
        <f t="shared" si="80"/>
        <v>Aug</v>
      </c>
      <c r="C1086" s="43">
        <f t="shared" si="81"/>
        <v>46257</v>
      </c>
      <c r="D1086" s="44">
        <f t="shared" si="82"/>
        <v>46251</v>
      </c>
      <c r="E1086" s="9" t="s">
        <v>40</v>
      </c>
      <c r="F1086">
        <f t="shared" si="83"/>
        <v>0</v>
      </c>
      <c r="G1086">
        <f t="shared" si="84"/>
        <v>-74</v>
      </c>
      <c r="AJ1086" s="40">
        <v>46251</v>
      </c>
      <c r="AK1086" s="9" t="s">
        <v>205</v>
      </c>
      <c r="AL1086" s="9" t="s">
        <v>40</v>
      </c>
      <c r="AM1086" s="9"/>
      <c r="AN1086" s="9">
        <v>20</v>
      </c>
      <c r="AO1086" s="9">
        <v>10</v>
      </c>
      <c r="AP1086" s="9">
        <v>0</v>
      </c>
      <c r="AQ1086" s="9">
        <v>0</v>
      </c>
      <c r="AR1086" s="9">
        <v>12</v>
      </c>
      <c r="AS1086" s="9">
        <v>0</v>
      </c>
      <c r="AT1086" s="9">
        <v>43</v>
      </c>
      <c r="AU1086" s="9">
        <v>36</v>
      </c>
      <c r="AV1086" s="9">
        <v>28</v>
      </c>
      <c r="AW1086" s="9">
        <v>37</v>
      </c>
      <c r="AX1086" s="9">
        <v>41</v>
      </c>
      <c r="AY1086" s="9">
        <v>31</v>
      </c>
      <c r="AZ1086" s="9">
        <v>28</v>
      </c>
    </row>
    <row r="1087" spans="2:52">
      <c r="B1087" t="str">
        <f t="shared" si="80"/>
        <v>Aug</v>
      </c>
      <c r="C1087" s="43">
        <f t="shared" si="81"/>
        <v>46257</v>
      </c>
      <c r="D1087" s="44">
        <f t="shared" si="82"/>
        <v>46251</v>
      </c>
      <c r="E1087" s="9" t="s">
        <v>41</v>
      </c>
      <c r="F1087">
        <f t="shared" si="83"/>
        <v>0</v>
      </c>
      <c r="G1087">
        <f t="shared" si="84"/>
        <v>-3</v>
      </c>
      <c r="AJ1087" s="40">
        <v>46251</v>
      </c>
      <c r="AK1087" s="9" t="s">
        <v>41</v>
      </c>
      <c r="AL1087" s="9" t="s">
        <v>41</v>
      </c>
      <c r="AM1087" s="9"/>
      <c r="AN1087" s="9">
        <v>164</v>
      </c>
      <c r="AO1087" s="9">
        <v>163</v>
      </c>
      <c r="AP1087" s="9">
        <v>160</v>
      </c>
      <c r="AQ1087" s="9">
        <v>159</v>
      </c>
      <c r="AR1087" s="9">
        <v>160</v>
      </c>
      <c r="AS1087" s="9">
        <v>134</v>
      </c>
      <c r="AT1087" s="9">
        <v>133</v>
      </c>
      <c r="AU1087" s="9">
        <v>151</v>
      </c>
      <c r="AV1087" s="9">
        <v>152</v>
      </c>
      <c r="AW1087" s="9">
        <v>0</v>
      </c>
      <c r="AX1087" s="9">
        <v>0</v>
      </c>
      <c r="AY1087" s="9">
        <v>1</v>
      </c>
      <c r="AZ1087" s="9">
        <v>2</v>
      </c>
    </row>
    <row r="1088" spans="2:52">
      <c r="B1088" t="str">
        <f t="shared" si="80"/>
        <v>Aug</v>
      </c>
      <c r="C1088" s="43">
        <f t="shared" si="81"/>
        <v>46257</v>
      </c>
      <c r="D1088" s="44">
        <f t="shared" si="82"/>
        <v>46251</v>
      </c>
      <c r="E1088" s="9" t="s">
        <v>45</v>
      </c>
      <c r="F1088">
        <f t="shared" si="83"/>
        <v>0</v>
      </c>
      <c r="G1088">
        <f t="shared" si="84"/>
        <v>-34</v>
      </c>
      <c r="AJ1088" s="40">
        <v>46251</v>
      </c>
      <c r="AK1088" s="9" t="s">
        <v>202</v>
      </c>
      <c r="AL1088" s="9" t="s">
        <v>45</v>
      </c>
      <c r="AM1088" s="9"/>
      <c r="AN1088" s="9">
        <v>29</v>
      </c>
      <c r="AO1088" s="9">
        <v>24</v>
      </c>
      <c r="AP1088" s="9">
        <v>17</v>
      </c>
      <c r="AQ1088" s="9">
        <v>25</v>
      </c>
      <c r="AR1088" s="9">
        <v>28</v>
      </c>
      <c r="AS1088" s="9">
        <v>175</v>
      </c>
      <c r="AT1088" s="9">
        <v>172</v>
      </c>
      <c r="AU1088" s="9">
        <v>167</v>
      </c>
      <c r="AV1088" s="9">
        <v>169</v>
      </c>
      <c r="AW1088" s="9">
        <v>168</v>
      </c>
      <c r="AX1088" s="9">
        <v>0</v>
      </c>
      <c r="AY1088" s="9">
        <v>0</v>
      </c>
      <c r="AZ1088" s="9">
        <v>22</v>
      </c>
    </row>
    <row r="1089" spans="2:52">
      <c r="B1089" t="str">
        <f t="shared" si="80"/>
        <v>Aug</v>
      </c>
      <c r="C1089" s="43">
        <f t="shared" si="81"/>
        <v>46257</v>
      </c>
      <c r="D1089" s="44">
        <f t="shared" si="82"/>
        <v>46251</v>
      </c>
      <c r="E1089" s="9" t="s">
        <v>46</v>
      </c>
      <c r="F1089">
        <f t="shared" si="83"/>
        <v>0</v>
      </c>
      <c r="G1089">
        <f t="shared" si="84"/>
        <v>-14</v>
      </c>
      <c r="AJ1089" s="40">
        <v>46251</v>
      </c>
      <c r="AK1089" s="9" t="s">
        <v>202</v>
      </c>
      <c r="AL1089" s="9" t="s">
        <v>46</v>
      </c>
      <c r="AM1089" s="9"/>
      <c r="AN1089" s="9">
        <v>3</v>
      </c>
      <c r="AO1089" s="9">
        <v>0</v>
      </c>
      <c r="AP1089" s="9">
        <v>0</v>
      </c>
      <c r="AQ1089" s="9">
        <v>12</v>
      </c>
      <c r="AR1089" s="9">
        <v>15</v>
      </c>
      <c r="AS1089" s="9">
        <v>14</v>
      </c>
      <c r="AT1089" s="9">
        <v>14</v>
      </c>
      <c r="AU1089" s="9">
        <v>11</v>
      </c>
      <c r="AV1089" s="9">
        <v>50</v>
      </c>
      <c r="AW1089" s="9">
        <v>20</v>
      </c>
      <c r="AX1089" s="9">
        <v>0</v>
      </c>
      <c r="AY1089" s="9">
        <v>49</v>
      </c>
      <c r="AZ1089" s="9">
        <v>48</v>
      </c>
    </row>
    <row r="1090" spans="2:52">
      <c r="B1090" t="str">
        <f t="shared" si="80"/>
        <v>Aug</v>
      </c>
      <c r="C1090" s="43">
        <f t="shared" si="81"/>
        <v>46257</v>
      </c>
      <c r="D1090" s="44">
        <f t="shared" si="82"/>
        <v>46251</v>
      </c>
      <c r="E1090" s="9" t="s">
        <v>47</v>
      </c>
      <c r="F1090">
        <f t="shared" si="83"/>
        <v>0</v>
      </c>
      <c r="G1090">
        <f t="shared" si="84"/>
        <v>-42</v>
      </c>
      <c r="AJ1090" s="40">
        <v>46251</v>
      </c>
      <c r="AK1090" s="9" t="s">
        <v>202</v>
      </c>
      <c r="AL1090" s="9" t="s">
        <v>47</v>
      </c>
      <c r="AM1090" s="9"/>
      <c r="AN1090" s="9">
        <v>21</v>
      </c>
      <c r="AO1090" s="9">
        <v>0</v>
      </c>
      <c r="AP1090" s="9">
        <v>9</v>
      </c>
      <c r="AQ1090" s="9">
        <v>12</v>
      </c>
      <c r="AR1090" s="9">
        <v>76</v>
      </c>
      <c r="AS1090" s="9">
        <v>79</v>
      </c>
      <c r="AT1090" s="9">
        <v>75</v>
      </c>
      <c r="AU1090" s="9">
        <v>0</v>
      </c>
      <c r="AV1090" s="9">
        <v>0</v>
      </c>
      <c r="AW1090" s="9">
        <v>0</v>
      </c>
      <c r="AX1090" s="9">
        <v>6</v>
      </c>
      <c r="AY1090" s="9">
        <v>8</v>
      </c>
      <c r="AZ1090" s="9">
        <v>0</v>
      </c>
    </row>
    <row r="1091" spans="2:52">
      <c r="B1091" t="str">
        <f t="shared" si="80"/>
        <v>Aug</v>
      </c>
      <c r="C1091" s="43">
        <f t="shared" si="81"/>
        <v>46257</v>
      </c>
      <c r="D1091" s="44">
        <f t="shared" si="82"/>
        <v>46251</v>
      </c>
      <c r="E1091" s="9" t="s">
        <v>206</v>
      </c>
      <c r="F1091">
        <f t="shared" si="83"/>
        <v>0</v>
      </c>
      <c r="G1091">
        <f t="shared" si="84"/>
        <v>3</v>
      </c>
      <c r="AJ1091" s="40">
        <v>46251</v>
      </c>
      <c r="AK1091" s="9" t="s">
        <v>43</v>
      </c>
      <c r="AL1091" s="9" t="s">
        <v>206</v>
      </c>
      <c r="AM1091" s="9"/>
      <c r="AN1091" s="9">
        <v>63</v>
      </c>
      <c r="AO1091" s="9">
        <v>64</v>
      </c>
      <c r="AP1091" s="9">
        <v>71</v>
      </c>
      <c r="AQ1091" s="9">
        <v>64</v>
      </c>
      <c r="AR1091" s="9">
        <v>63</v>
      </c>
      <c r="AS1091" s="9">
        <v>55</v>
      </c>
      <c r="AT1091" s="9">
        <v>0</v>
      </c>
      <c r="AU1091" s="9">
        <v>9</v>
      </c>
      <c r="AV1091" s="9">
        <v>1</v>
      </c>
      <c r="AW1091" s="9">
        <v>2</v>
      </c>
      <c r="AX1091" s="9">
        <v>0</v>
      </c>
      <c r="AY1091" s="9">
        <v>25</v>
      </c>
      <c r="AZ1091" s="9">
        <v>29</v>
      </c>
    </row>
    <row r="1092" spans="2:52">
      <c r="B1092" t="str">
        <f t="shared" si="80"/>
        <v>Aug</v>
      </c>
      <c r="C1092" s="43">
        <f t="shared" si="81"/>
        <v>46257</v>
      </c>
      <c r="D1092" s="44">
        <f t="shared" si="82"/>
        <v>46251</v>
      </c>
      <c r="E1092" s="9" t="s">
        <v>207</v>
      </c>
      <c r="F1092">
        <f t="shared" si="83"/>
        <v>0</v>
      </c>
      <c r="G1092">
        <f t="shared" si="84"/>
        <v>-4</v>
      </c>
      <c r="AJ1092" s="40">
        <v>46251</v>
      </c>
      <c r="AK1092" s="9" t="s">
        <v>203</v>
      </c>
      <c r="AL1092" s="9" t="s">
        <v>207</v>
      </c>
      <c r="AM1092" s="9"/>
      <c r="AN1092" s="9">
        <v>53</v>
      </c>
      <c r="AO1092" s="9">
        <v>55</v>
      </c>
      <c r="AP1092" s="9">
        <v>52</v>
      </c>
      <c r="AQ1092" s="9">
        <v>11</v>
      </c>
      <c r="AR1092" s="9">
        <v>163</v>
      </c>
      <c r="AS1092" s="9">
        <v>0</v>
      </c>
      <c r="AT1092" s="9">
        <v>0</v>
      </c>
      <c r="AU1092" s="9">
        <v>2</v>
      </c>
      <c r="AV1092" s="9">
        <v>7</v>
      </c>
      <c r="AW1092" s="9">
        <v>13</v>
      </c>
      <c r="AX1092" s="9">
        <v>0</v>
      </c>
      <c r="AY1092" s="9">
        <v>8</v>
      </c>
      <c r="AZ1092" s="9">
        <v>0</v>
      </c>
    </row>
    <row r="1093" spans="2:52">
      <c r="B1093" t="str">
        <f t="shared" ref="B1093:B1156" si="85">TEXT(C1093,"MMM")</f>
        <v>Aug</v>
      </c>
      <c r="C1093" s="43">
        <f t="shared" ref="C1093:C1156" si="86">AJ1093+(8-WEEKDAY(AJ1093))</f>
        <v>46257</v>
      </c>
      <c r="D1093" s="44">
        <f t="shared" ref="D1093:D1156" si="87">AJ1093</f>
        <v>46251</v>
      </c>
      <c r="E1093" s="9" t="s">
        <v>42</v>
      </c>
      <c r="F1093">
        <f t="shared" ref="F1093:F1156" si="88">IF(SUM(V1093:AI1093)&lt;=0,0,SUM(V1093:AI1093))</f>
        <v>0</v>
      </c>
      <c r="G1093">
        <f t="shared" si="84"/>
        <v>8</v>
      </c>
      <c r="AJ1093" s="40">
        <v>46251</v>
      </c>
      <c r="AK1093" s="9" t="s">
        <v>42</v>
      </c>
      <c r="AL1093" s="9" t="s">
        <v>42</v>
      </c>
      <c r="AM1093" s="9"/>
      <c r="AN1093" s="9">
        <v>6</v>
      </c>
      <c r="AO1093" s="9">
        <v>0</v>
      </c>
      <c r="AP1093" s="9">
        <v>4</v>
      </c>
      <c r="AQ1093" s="9">
        <v>7</v>
      </c>
      <c r="AR1093" s="9">
        <v>2</v>
      </c>
      <c r="AS1093" s="9">
        <v>5</v>
      </c>
      <c r="AT1093" s="9">
        <v>0</v>
      </c>
      <c r="AU1093" s="9">
        <v>0</v>
      </c>
      <c r="AV1093" s="9">
        <v>9</v>
      </c>
      <c r="AW1093" s="9">
        <v>4</v>
      </c>
      <c r="AX1093" s="9">
        <v>3</v>
      </c>
      <c r="AY1093" s="9">
        <v>9</v>
      </c>
      <c r="AZ1093" s="9">
        <v>8</v>
      </c>
    </row>
    <row r="1094" spans="2:52">
      <c r="B1094" t="str">
        <f t="shared" si="85"/>
        <v>Aug</v>
      </c>
      <c r="C1094" s="43">
        <f t="shared" si="86"/>
        <v>46257</v>
      </c>
      <c r="D1094" s="44">
        <f t="shared" si="87"/>
        <v>46252</v>
      </c>
      <c r="E1094" s="9" t="s">
        <v>31</v>
      </c>
      <c r="F1094">
        <f t="shared" si="88"/>
        <v>0</v>
      </c>
      <c r="G1094">
        <f t="shared" si="84"/>
        <v>-46</v>
      </c>
      <c r="AJ1094" s="40">
        <v>46252</v>
      </c>
      <c r="AK1094" s="9" t="s">
        <v>204</v>
      </c>
      <c r="AL1094" s="9" t="s">
        <v>31</v>
      </c>
      <c r="AM1094" s="9"/>
      <c r="AN1094" s="9">
        <v>240</v>
      </c>
      <c r="AO1094" s="9">
        <v>233</v>
      </c>
      <c r="AP1094" s="9">
        <v>0</v>
      </c>
      <c r="AQ1094" s="9">
        <v>72</v>
      </c>
      <c r="AR1094" s="9">
        <v>63</v>
      </c>
      <c r="AS1094" s="9">
        <v>93</v>
      </c>
      <c r="AT1094" s="9">
        <v>141</v>
      </c>
      <c r="AU1094" s="9">
        <v>159</v>
      </c>
      <c r="AV1094" s="9">
        <v>154</v>
      </c>
      <c r="AW1094" s="9">
        <v>166</v>
      </c>
      <c r="AX1094" s="9">
        <v>163</v>
      </c>
      <c r="AY1094" s="9">
        <v>0</v>
      </c>
      <c r="AZ1094" s="9">
        <v>34</v>
      </c>
    </row>
    <row r="1095" spans="2:52">
      <c r="B1095" t="str">
        <f t="shared" si="85"/>
        <v>Aug</v>
      </c>
      <c r="C1095" s="43">
        <f t="shared" si="86"/>
        <v>46257</v>
      </c>
      <c r="D1095" s="44">
        <f t="shared" si="87"/>
        <v>46252</v>
      </c>
      <c r="E1095" s="9" t="s">
        <v>39</v>
      </c>
      <c r="F1095">
        <f t="shared" si="88"/>
        <v>0</v>
      </c>
      <c r="G1095">
        <f t="shared" si="84"/>
        <v>-13</v>
      </c>
      <c r="AJ1095" s="40">
        <v>46252</v>
      </c>
      <c r="AK1095" s="9" t="s">
        <v>205</v>
      </c>
      <c r="AL1095" s="9" t="s">
        <v>39</v>
      </c>
      <c r="AM1095" s="9"/>
      <c r="AN1095" s="9">
        <v>120</v>
      </c>
      <c r="AO1095" s="9">
        <v>127</v>
      </c>
      <c r="AP1095" s="9">
        <v>142</v>
      </c>
      <c r="AQ1095" s="9">
        <v>152</v>
      </c>
      <c r="AR1095" s="9">
        <v>0</v>
      </c>
      <c r="AS1095" s="9">
        <v>8</v>
      </c>
      <c r="AT1095" s="9">
        <v>11</v>
      </c>
      <c r="AU1095" s="9">
        <v>9</v>
      </c>
      <c r="AV1095" s="9">
        <v>0</v>
      </c>
      <c r="AW1095" s="9">
        <v>22</v>
      </c>
      <c r="AX1095" s="9">
        <v>36</v>
      </c>
      <c r="AY1095" s="9">
        <v>34</v>
      </c>
      <c r="AZ1095" s="9">
        <v>45</v>
      </c>
    </row>
    <row r="1096" spans="2:52">
      <c r="B1096" t="str">
        <f t="shared" si="85"/>
        <v>Aug</v>
      </c>
      <c r="C1096" s="43">
        <f t="shared" si="86"/>
        <v>46257</v>
      </c>
      <c r="D1096" s="44">
        <f t="shared" si="87"/>
        <v>46252</v>
      </c>
      <c r="E1096" s="9" t="s">
        <v>40</v>
      </c>
      <c r="F1096">
        <f t="shared" si="88"/>
        <v>0</v>
      </c>
      <c r="G1096">
        <f t="shared" si="84"/>
        <v>49</v>
      </c>
      <c r="AJ1096" s="40">
        <v>46252</v>
      </c>
      <c r="AK1096" s="9" t="s">
        <v>205</v>
      </c>
      <c r="AL1096" s="9" t="s">
        <v>40</v>
      </c>
      <c r="AM1096" s="9"/>
      <c r="AN1096" s="9">
        <v>46</v>
      </c>
      <c r="AO1096" s="9">
        <v>54</v>
      </c>
      <c r="AP1096" s="9">
        <v>110</v>
      </c>
      <c r="AQ1096" s="9">
        <v>102</v>
      </c>
      <c r="AR1096" s="9">
        <v>113</v>
      </c>
      <c r="AS1096" s="9">
        <v>0</v>
      </c>
      <c r="AT1096" s="9">
        <v>10</v>
      </c>
      <c r="AU1096" s="9">
        <v>40</v>
      </c>
      <c r="AV1096" s="9">
        <v>0</v>
      </c>
      <c r="AW1096" s="9">
        <v>70</v>
      </c>
      <c r="AX1096" s="9">
        <v>60</v>
      </c>
      <c r="AY1096" s="9">
        <v>65</v>
      </c>
      <c r="AZ1096" s="9">
        <v>77</v>
      </c>
    </row>
    <row r="1097" spans="2:52">
      <c r="B1097" t="str">
        <f t="shared" si="85"/>
        <v>Aug</v>
      </c>
      <c r="C1097" s="43">
        <f t="shared" si="86"/>
        <v>46257</v>
      </c>
      <c r="D1097" s="44">
        <f t="shared" si="87"/>
        <v>46252</v>
      </c>
      <c r="E1097" s="9" t="s">
        <v>41</v>
      </c>
      <c r="F1097">
        <f t="shared" si="88"/>
        <v>0</v>
      </c>
      <c r="G1097">
        <f t="shared" si="84"/>
        <v>12</v>
      </c>
      <c r="AJ1097" s="40">
        <v>46252</v>
      </c>
      <c r="AK1097" s="9" t="s">
        <v>41</v>
      </c>
      <c r="AL1097" s="9" t="s">
        <v>41</v>
      </c>
      <c r="AM1097" s="9"/>
      <c r="AN1097" s="9">
        <v>24</v>
      </c>
      <c r="AO1097" s="9">
        <v>28</v>
      </c>
      <c r="AP1097" s="9">
        <v>26</v>
      </c>
      <c r="AQ1097" s="9">
        <v>93</v>
      </c>
      <c r="AR1097" s="9">
        <v>92</v>
      </c>
      <c r="AS1097" s="9">
        <v>89</v>
      </c>
      <c r="AT1097" s="9">
        <v>138</v>
      </c>
      <c r="AU1097" s="9">
        <v>0</v>
      </c>
      <c r="AV1097" s="9">
        <v>11</v>
      </c>
      <c r="AW1097" s="9">
        <v>12</v>
      </c>
      <c r="AX1097" s="9">
        <v>12</v>
      </c>
      <c r="AY1097" s="9">
        <v>17</v>
      </c>
      <c r="AZ1097" s="9">
        <v>14</v>
      </c>
    </row>
    <row r="1098" spans="2:52">
      <c r="B1098" t="str">
        <f t="shared" si="85"/>
        <v>Aug</v>
      </c>
      <c r="C1098" s="43">
        <f t="shared" si="86"/>
        <v>46257</v>
      </c>
      <c r="D1098" s="44">
        <f t="shared" si="87"/>
        <v>46252</v>
      </c>
      <c r="E1098" s="9" t="s">
        <v>45</v>
      </c>
      <c r="F1098">
        <f t="shared" si="88"/>
        <v>0</v>
      </c>
      <c r="G1098">
        <f t="shared" si="84"/>
        <v>30</v>
      </c>
      <c r="AJ1098" s="40">
        <v>46252</v>
      </c>
      <c r="AK1098" s="9" t="s">
        <v>202</v>
      </c>
      <c r="AL1098" s="9" t="s">
        <v>45</v>
      </c>
      <c r="AM1098" s="9"/>
      <c r="AN1098" s="9">
        <v>22</v>
      </c>
      <c r="AO1098" s="9">
        <v>52</v>
      </c>
      <c r="AP1098" s="9">
        <v>55</v>
      </c>
      <c r="AQ1098" s="9">
        <v>0</v>
      </c>
      <c r="AR1098" s="9">
        <v>30</v>
      </c>
      <c r="AS1098" s="9">
        <v>28</v>
      </c>
      <c r="AT1098" s="9">
        <v>0</v>
      </c>
      <c r="AU1098" s="9">
        <v>6</v>
      </c>
      <c r="AV1098" s="9">
        <v>0</v>
      </c>
      <c r="AW1098" s="9">
        <v>2</v>
      </c>
      <c r="AX1098" s="9">
        <v>0</v>
      </c>
      <c r="AY1098" s="9">
        <v>8</v>
      </c>
      <c r="AZ1098" s="9">
        <v>52</v>
      </c>
    </row>
    <row r="1099" spans="2:52">
      <c r="B1099" t="str">
        <f t="shared" si="85"/>
        <v>Aug</v>
      </c>
      <c r="C1099" s="43">
        <f t="shared" si="86"/>
        <v>46257</v>
      </c>
      <c r="D1099" s="44">
        <f t="shared" si="87"/>
        <v>46252</v>
      </c>
      <c r="E1099" s="9" t="s">
        <v>46</v>
      </c>
      <c r="F1099">
        <f t="shared" si="88"/>
        <v>0</v>
      </c>
      <c r="G1099">
        <f t="shared" si="84"/>
        <v>-40</v>
      </c>
      <c r="AJ1099" s="40">
        <v>46252</v>
      </c>
      <c r="AK1099" s="9" t="s">
        <v>202</v>
      </c>
      <c r="AL1099" s="9" t="s">
        <v>46</v>
      </c>
      <c r="AM1099" s="9"/>
      <c r="AN1099" s="9">
        <v>22</v>
      </c>
      <c r="AO1099" s="9">
        <v>27</v>
      </c>
      <c r="AP1099" s="9">
        <v>27</v>
      </c>
      <c r="AQ1099" s="9">
        <v>29</v>
      </c>
      <c r="AR1099" s="9">
        <v>27</v>
      </c>
      <c r="AS1099" s="9">
        <v>0</v>
      </c>
      <c r="AT1099" s="9">
        <v>5</v>
      </c>
      <c r="AU1099" s="9">
        <v>0</v>
      </c>
      <c r="AV1099" s="9">
        <v>5</v>
      </c>
      <c r="AW1099" s="9">
        <v>7</v>
      </c>
      <c r="AX1099" s="9">
        <v>3</v>
      </c>
      <c r="AY1099" s="9">
        <v>3</v>
      </c>
      <c r="AZ1099" s="9">
        <v>8</v>
      </c>
    </row>
    <row r="1100" spans="2:52">
      <c r="B1100" t="str">
        <f t="shared" si="85"/>
        <v>Aug</v>
      </c>
      <c r="C1100" s="43">
        <f t="shared" si="86"/>
        <v>46257</v>
      </c>
      <c r="D1100" s="44">
        <f t="shared" si="87"/>
        <v>46252</v>
      </c>
      <c r="E1100" s="9" t="s">
        <v>47</v>
      </c>
      <c r="F1100">
        <f t="shared" si="88"/>
        <v>0</v>
      </c>
      <c r="G1100">
        <f t="shared" si="84"/>
        <v>66</v>
      </c>
      <c r="AJ1100" s="40">
        <v>46252</v>
      </c>
      <c r="AK1100" s="9" t="s">
        <v>202</v>
      </c>
      <c r="AL1100" s="9" t="s">
        <v>47</v>
      </c>
      <c r="AM1100" s="9"/>
      <c r="AN1100" s="9">
        <v>13</v>
      </c>
      <c r="AO1100" s="9">
        <v>9</v>
      </c>
      <c r="AP1100" s="9">
        <v>13</v>
      </c>
      <c r="AQ1100" s="9">
        <v>9</v>
      </c>
      <c r="AR1100" s="9">
        <v>0</v>
      </c>
      <c r="AS1100" s="9">
        <v>2</v>
      </c>
      <c r="AT1100" s="9">
        <v>0</v>
      </c>
      <c r="AU1100" s="9">
        <v>16</v>
      </c>
      <c r="AV1100" s="9">
        <v>60</v>
      </c>
      <c r="AW1100" s="9">
        <v>61</v>
      </c>
      <c r="AX1100" s="9">
        <v>64</v>
      </c>
      <c r="AY1100" s="9">
        <v>61</v>
      </c>
      <c r="AZ1100" s="9">
        <v>66</v>
      </c>
    </row>
    <row r="1101" spans="2:52">
      <c r="B1101" t="str">
        <f t="shared" si="85"/>
        <v>Aug</v>
      </c>
      <c r="C1101" s="43">
        <f t="shared" si="86"/>
        <v>46257</v>
      </c>
      <c r="D1101" s="44">
        <f t="shared" si="87"/>
        <v>46252</v>
      </c>
      <c r="E1101" s="9" t="s">
        <v>206</v>
      </c>
      <c r="F1101">
        <f t="shared" si="88"/>
        <v>0</v>
      </c>
      <c r="G1101">
        <f t="shared" si="84"/>
        <v>-10</v>
      </c>
      <c r="AJ1101" s="40">
        <v>46252</v>
      </c>
      <c r="AK1101" s="9" t="s">
        <v>43</v>
      </c>
      <c r="AL1101" s="9" t="s">
        <v>206</v>
      </c>
      <c r="AM1101" s="9"/>
      <c r="AN1101" s="9">
        <v>23</v>
      </c>
      <c r="AO1101" s="9">
        <v>20</v>
      </c>
      <c r="AP1101" s="9">
        <v>16</v>
      </c>
      <c r="AQ1101" s="9">
        <v>11</v>
      </c>
      <c r="AR1101" s="9">
        <v>21</v>
      </c>
      <c r="AS1101" s="9">
        <v>27</v>
      </c>
      <c r="AT1101" s="9">
        <v>33</v>
      </c>
      <c r="AU1101" s="9">
        <v>33</v>
      </c>
      <c r="AV1101" s="9">
        <v>29</v>
      </c>
      <c r="AW1101" s="9">
        <v>27</v>
      </c>
      <c r="AX1101" s="9">
        <v>0</v>
      </c>
      <c r="AY1101" s="9">
        <v>10</v>
      </c>
      <c r="AZ1101" s="9">
        <v>19</v>
      </c>
    </row>
    <row r="1102" spans="2:52">
      <c r="B1102" t="str">
        <f t="shared" si="85"/>
        <v>Aug</v>
      </c>
      <c r="C1102" s="43">
        <f t="shared" si="86"/>
        <v>46257</v>
      </c>
      <c r="D1102" s="44">
        <f t="shared" si="87"/>
        <v>46252</v>
      </c>
      <c r="E1102" s="9" t="s">
        <v>207</v>
      </c>
      <c r="F1102">
        <f t="shared" si="88"/>
        <v>0</v>
      </c>
      <c r="G1102">
        <f t="shared" si="84"/>
        <v>0</v>
      </c>
      <c r="AJ1102" s="40">
        <v>46252</v>
      </c>
      <c r="AK1102" s="9" t="s">
        <v>203</v>
      </c>
      <c r="AL1102" s="9" t="s">
        <v>207</v>
      </c>
      <c r="AM1102" s="9"/>
      <c r="AN1102" s="9">
        <v>30</v>
      </c>
      <c r="AO1102" s="9">
        <v>39</v>
      </c>
      <c r="AP1102" s="9">
        <v>32</v>
      </c>
      <c r="AQ1102" s="9">
        <v>34</v>
      </c>
      <c r="AR1102" s="9">
        <v>40</v>
      </c>
      <c r="AS1102" s="9">
        <v>40</v>
      </c>
      <c r="AT1102" s="9">
        <v>47</v>
      </c>
      <c r="AU1102" s="9">
        <v>41</v>
      </c>
      <c r="AV1102" s="9">
        <v>0</v>
      </c>
      <c r="AW1102" s="9">
        <v>5</v>
      </c>
      <c r="AX1102" s="9">
        <v>109</v>
      </c>
      <c r="AY1102" s="9">
        <v>0</v>
      </c>
      <c r="AZ1102" s="9">
        <v>0</v>
      </c>
    </row>
    <row r="1103" spans="2:52">
      <c r="B1103" t="str">
        <f t="shared" si="85"/>
        <v>Aug</v>
      </c>
      <c r="C1103" s="43">
        <f t="shared" si="86"/>
        <v>46257</v>
      </c>
      <c r="D1103" s="44">
        <f t="shared" si="87"/>
        <v>46252</v>
      </c>
      <c r="E1103" s="9" t="s">
        <v>42</v>
      </c>
      <c r="F1103">
        <f t="shared" si="88"/>
        <v>0</v>
      </c>
      <c r="G1103">
        <f t="shared" ref="G1103:G1166" si="89">SUM(H1103:U1103)+AZ1103-AZ1093</f>
        <v>153</v>
      </c>
      <c r="AJ1103" s="40">
        <v>46252</v>
      </c>
      <c r="AK1103" s="9" t="s">
        <v>42</v>
      </c>
      <c r="AL1103" s="9" t="s">
        <v>42</v>
      </c>
      <c r="AM1103" s="9"/>
      <c r="AN1103" s="9">
        <v>21</v>
      </c>
      <c r="AO1103" s="9">
        <v>0</v>
      </c>
      <c r="AP1103" s="9">
        <v>0</v>
      </c>
      <c r="AQ1103" s="9">
        <v>0</v>
      </c>
      <c r="AR1103" s="9">
        <v>2</v>
      </c>
      <c r="AS1103" s="9">
        <v>0</v>
      </c>
      <c r="AT1103" s="9">
        <v>4</v>
      </c>
      <c r="AU1103" s="9">
        <v>6</v>
      </c>
      <c r="AV1103" s="9">
        <v>37</v>
      </c>
      <c r="AW1103" s="9">
        <v>34</v>
      </c>
      <c r="AX1103" s="9">
        <v>41</v>
      </c>
      <c r="AY1103" s="9">
        <v>41</v>
      </c>
      <c r="AZ1103" s="9">
        <v>161</v>
      </c>
    </row>
    <row r="1104" spans="2:52">
      <c r="B1104" t="str">
        <f t="shared" si="85"/>
        <v>Aug</v>
      </c>
      <c r="C1104" s="43">
        <f t="shared" si="86"/>
        <v>46257</v>
      </c>
      <c r="D1104" s="44">
        <f t="shared" si="87"/>
        <v>46253</v>
      </c>
      <c r="E1104" s="9" t="s">
        <v>31</v>
      </c>
      <c r="F1104">
        <f t="shared" si="88"/>
        <v>0</v>
      </c>
      <c r="G1104">
        <f t="shared" si="89"/>
        <v>150</v>
      </c>
      <c r="AJ1104" s="40">
        <v>46253</v>
      </c>
      <c r="AK1104" s="9" t="s">
        <v>204</v>
      </c>
      <c r="AL1104" s="9" t="s">
        <v>31</v>
      </c>
      <c r="AM1104" s="9"/>
      <c r="AN1104" s="9">
        <v>148</v>
      </c>
      <c r="AO1104" s="9">
        <v>168</v>
      </c>
      <c r="AP1104" s="9">
        <v>186</v>
      </c>
      <c r="AQ1104" s="9">
        <v>201</v>
      </c>
      <c r="AR1104" s="9">
        <v>192</v>
      </c>
      <c r="AS1104" s="9">
        <v>159</v>
      </c>
      <c r="AT1104" s="9">
        <v>178</v>
      </c>
      <c r="AU1104" s="9">
        <v>170</v>
      </c>
      <c r="AV1104" s="9">
        <v>186</v>
      </c>
      <c r="AW1104" s="9">
        <v>199</v>
      </c>
      <c r="AX1104" s="9">
        <v>181</v>
      </c>
      <c r="AY1104" s="9">
        <v>189</v>
      </c>
      <c r="AZ1104" s="9">
        <v>184</v>
      </c>
    </row>
    <row r="1105" spans="2:52">
      <c r="B1105" t="str">
        <f t="shared" si="85"/>
        <v>Aug</v>
      </c>
      <c r="C1105" s="43">
        <f t="shared" si="86"/>
        <v>46257</v>
      </c>
      <c r="D1105" s="44">
        <f t="shared" si="87"/>
        <v>46253</v>
      </c>
      <c r="E1105" s="9" t="s">
        <v>39</v>
      </c>
      <c r="F1105">
        <f t="shared" si="88"/>
        <v>0</v>
      </c>
      <c r="G1105">
        <f t="shared" si="89"/>
        <v>118</v>
      </c>
      <c r="AJ1105" s="40">
        <v>46253</v>
      </c>
      <c r="AK1105" s="9" t="s">
        <v>205</v>
      </c>
      <c r="AL1105" s="9" t="s">
        <v>39</v>
      </c>
      <c r="AM1105" s="9"/>
      <c r="AN1105" s="9">
        <v>128</v>
      </c>
      <c r="AO1105" s="9">
        <v>135</v>
      </c>
      <c r="AP1105" s="9">
        <v>120</v>
      </c>
      <c r="AQ1105" s="9">
        <v>105</v>
      </c>
      <c r="AR1105" s="9">
        <v>140</v>
      </c>
      <c r="AS1105" s="9">
        <v>139</v>
      </c>
      <c r="AT1105" s="9">
        <v>164</v>
      </c>
      <c r="AU1105" s="9">
        <v>126</v>
      </c>
      <c r="AV1105" s="9">
        <v>120</v>
      </c>
      <c r="AW1105" s="9">
        <v>148</v>
      </c>
      <c r="AX1105" s="9">
        <v>156</v>
      </c>
      <c r="AY1105" s="9">
        <v>147</v>
      </c>
      <c r="AZ1105" s="9">
        <v>163</v>
      </c>
    </row>
    <row r="1106" spans="2:52">
      <c r="B1106" t="str">
        <f t="shared" si="85"/>
        <v>Aug</v>
      </c>
      <c r="C1106" s="43">
        <f t="shared" si="86"/>
        <v>46257</v>
      </c>
      <c r="D1106" s="44">
        <f t="shared" si="87"/>
        <v>46253</v>
      </c>
      <c r="E1106" s="9" t="s">
        <v>40</v>
      </c>
      <c r="F1106">
        <f t="shared" si="88"/>
        <v>0</v>
      </c>
      <c r="G1106">
        <f t="shared" si="89"/>
        <v>117</v>
      </c>
      <c r="AJ1106" s="40">
        <v>46253</v>
      </c>
      <c r="AK1106" s="9" t="s">
        <v>205</v>
      </c>
      <c r="AL1106" s="9" t="s">
        <v>40</v>
      </c>
      <c r="AM1106" s="9"/>
      <c r="AN1106" s="9">
        <v>211</v>
      </c>
      <c r="AO1106" s="9">
        <v>220</v>
      </c>
      <c r="AP1106" s="9">
        <v>231</v>
      </c>
      <c r="AQ1106" s="9">
        <v>236</v>
      </c>
      <c r="AR1106" s="9">
        <v>240</v>
      </c>
      <c r="AS1106" s="9">
        <v>240</v>
      </c>
      <c r="AT1106" s="9">
        <v>240</v>
      </c>
      <c r="AU1106" s="9">
        <v>238</v>
      </c>
      <c r="AV1106" s="9">
        <v>240</v>
      </c>
      <c r="AW1106" s="9">
        <v>213</v>
      </c>
      <c r="AX1106" s="9">
        <v>200</v>
      </c>
      <c r="AY1106" s="9">
        <v>199</v>
      </c>
      <c r="AZ1106" s="9">
        <v>194</v>
      </c>
    </row>
    <row r="1107" spans="2:52">
      <c r="B1107" t="str">
        <f t="shared" si="85"/>
        <v>Aug</v>
      </c>
      <c r="C1107" s="43">
        <f t="shared" si="86"/>
        <v>46257</v>
      </c>
      <c r="D1107" s="44">
        <f t="shared" si="87"/>
        <v>46253</v>
      </c>
      <c r="E1107" s="9" t="s">
        <v>41</v>
      </c>
      <c r="F1107">
        <f t="shared" si="88"/>
        <v>0</v>
      </c>
      <c r="G1107">
        <f t="shared" si="89"/>
        <v>49</v>
      </c>
      <c r="AJ1107" s="40">
        <v>46253</v>
      </c>
      <c r="AK1107" s="9" t="s">
        <v>41</v>
      </c>
      <c r="AL1107" s="9" t="s">
        <v>41</v>
      </c>
      <c r="AM1107" s="9"/>
      <c r="AN1107" s="9">
        <v>19</v>
      </c>
      <c r="AO1107" s="9">
        <v>17</v>
      </c>
      <c r="AP1107" s="9">
        <v>20</v>
      </c>
      <c r="AQ1107" s="9">
        <v>24</v>
      </c>
      <c r="AR1107" s="9">
        <v>21</v>
      </c>
      <c r="AS1107" s="9">
        <v>165</v>
      </c>
      <c r="AT1107" s="9">
        <v>170</v>
      </c>
      <c r="AU1107" s="9">
        <v>171</v>
      </c>
      <c r="AV1107" s="9">
        <v>167</v>
      </c>
      <c r="AW1107" s="9">
        <v>165</v>
      </c>
      <c r="AX1107" s="9">
        <v>169</v>
      </c>
      <c r="AY1107" s="9">
        <v>0</v>
      </c>
      <c r="AZ1107" s="9">
        <v>63</v>
      </c>
    </row>
    <row r="1108" spans="2:52">
      <c r="B1108" t="str">
        <f t="shared" si="85"/>
        <v>Aug</v>
      </c>
      <c r="C1108" s="43">
        <f t="shared" si="86"/>
        <v>46257</v>
      </c>
      <c r="D1108" s="44">
        <f t="shared" si="87"/>
        <v>46253</v>
      </c>
      <c r="E1108" s="9" t="s">
        <v>45</v>
      </c>
      <c r="F1108">
        <f t="shared" si="88"/>
        <v>0</v>
      </c>
      <c r="G1108">
        <f t="shared" si="89"/>
        <v>-30</v>
      </c>
      <c r="AJ1108" s="40">
        <v>46253</v>
      </c>
      <c r="AK1108" s="9" t="s">
        <v>202</v>
      </c>
      <c r="AL1108" s="9" t="s">
        <v>45</v>
      </c>
      <c r="AM1108" s="9"/>
      <c r="AN1108" s="9">
        <v>77</v>
      </c>
      <c r="AO1108" s="9">
        <v>0</v>
      </c>
      <c r="AP1108" s="9">
        <v>163</v>
      </c>
      <c r="AQ1108" s="9">
        <v>171</v>
      </c>
      <c r="AR1108" s="9">
        <v>169</v>
      </c>
      <c r="AS1108" s="9">
        <v>0</v>
      </c>
      <c r="AT1108" s="9">
        <v>23</v>
      </c>
      <c r="AU1108" s="9">
        <v>0</v>
      </c>
      <c r="AV1108" s="9">
        <v>14</v>
      </c>
      <c r="AW1108" s="9">
        <v>15</v>
      </c>
      <c r="AX1108" s="9">
        <v>15</v>
      </c>
      <c r="AY1108" s="9">
        <v>16</v>
      </c>
      <c r="AZ1108" s="9">
        <v>22</v>
      </c>
    </row>
    <row r="1109" spans="2:52">
      <c r="B1109" t="str">
        <f t="shared" si="85"/>
        <v>Aug</v>
      </c>
      <c r="C1109" s="43">
        <f t="shared" si="86"/>
        <v>46257</v>
      </c>
      <c r="D1109" s="44">
        <f t="shared" si="87"/>
        <v>46253</v>
      </c>
      <c r="E1109" s="9" t="s">
        <v>46</v>
      </c>
      <c r="F1109">
        <f t="shared" si="88"/>
        <v>0</v>
      </c>
      <c r="G1109">
        <f t="shared" si="89"/>
        <v>0</v>
      </c>
      <c r="AJ1109" s="40">
        <v>46253</v>
      </c>
      <c r="AK1109" s="9" t="s">
        <v>202</v>
      </c>
      <c r="AL1109" s="9" t="s">
        <v>46</v>
      </c>
      <c r="AM1109" s="9"/>
      <c r="AN1109" s="9">
        <v>42</v>
      </c>
      <c r="AO1109" s="9">
        <v>46</v>
      </c>
      <c r="AP1109" s="9">
        <v>15</v>
      </c>
      <c r="AQ1109" s="9">
        <v>20</v>
      </c>
      <c r="AR1109" s="9">
        <v>21</v>
      </c>
      <c r="AS1109" s="9">
        <v>0</v>
      </c>
      <c r="AT1109" s="9">
        <v>6</v>
      </c>
      <c r="AU1109" s="9">
        <v>0</v>
      </c>
      <c r="AV1109" s="9">
        <v>10</v>
      </c>
      <c r="AW1109" s="9">
        <v>10</v>
      </c>
      <c r="AX1109" s="9">
        <v>11</v>
      </c>
      <c r="AY1109" s="9">
        <v>0</v>
      </c>
      <c r="AZ1109" s="9">
        <v>8</v>
      </c>
    </row>
    <row r="1110" spans="2:52">
      <c r="B1110" t="str">
        <f t="shared" si="85"/>
        <v>Aug</v>
      </c>
      <c r="C1110" s="43">
        <f t="shared" si="86"/>
        <v>46257</v>
      </c>
      <c r="D1110" s="44">
        <f t="shared" si="87"/>
        <v>46253</v>
      </c>
      <c r="E1110" s="9" t="s">
        <v>47</v>
      </c>
      <c r="F1110">
        <f t="shared" si="88"/>
        <v>0</v>
      </c>
      <c r="G1110">
        <f t="shared" si="89"/>
        <v>34</v>
      </c>
      <c r="AJ1110" s="40">
        <v>46253</v>
      </c>
      <c r="AK1110" s="9" t="s">
        <v>202</v>
      </c>
      <c r="AL1110" s="9" t="s">
        <v>47</v>
      </c>
      <c r="AM1110" s="9"/>
      <c r="AN1110" s="9">
        <v>14</v>
      </c>
      <c r="AO1110" s="9">
        <v>0</v>
      </c>
      <c r="AP1110" s="9">
        <v>10</v>
      </c>
      <c r="AQ1110" s="9">
        <v>8</v>
      </c>
      <c r="AR1110" s="9">
        <v>6</v>
      </c>
      <c r="AS1110" s="9">
        <v>3</v>
      </c>
      <c r="AT1110" s="9">
        <v>38</v>
      </c>
      <c r="AU1110" s="9">
        <v>92</v>
      </c>
      <c r="AV1110" s="9">
        <v>93</v>
      </c>
      <c r="AW1110" s="9">
        <v>97</v>
      </c>
      <c r="AX1110" s="9">
        <v>99</v>
      </c>
      <c r="AY1110" s="9">
        <v>104</v>
      </c>
      <c r="AZ1110" s="9">
        <v>100</v>
      </c>
    </row>
    <row r="1111" spans="2:52">
      <c r="B1111" t="str">
        <f t="shared" si="85"/>
        <v>Aug</v>
      </c>
      <c r="C1111" s="43">
        <f t="shared" si="86"/>
        <v>46257</v>
      </c>
      <c r="D1111" s="44">
        <f t="shared" si="87"/>
        <v>46253</v>
      </c>
      <c r="E1111" s="9" t="s">
        <v>206</v>
      </c>
      <c r="F1111">
        <f t="shared" si="88"/>
        <v>0</v>
      </c>
      <c r="G1111">
        <f t="shared" si="89"/>
        <v>-8</v>
      </c>
      <c r="AJ1111" s="40">
        <v>46253</v>
      </c>
      <c r="AK1111" s="9" t="s">
        <v>43</v>
      </c>
      <c r="AL1111" s="9" t="s">
        <v>206</v>
      </c>
      <c r="AM1111" s="9"/>
      <c r="AN1111" s="9">
        <v>124</v>
      </c>
      <c r="AO1111" s="9">
        <v>118</v>
      </c>
      <c r="AP1111" s="9">
        <v>117</v>
      </c>
      <c r="AQ1111" s="9">
        <v>0</v>
      </c>
      <c r="AR1111" s="9">
        <v>25</v>
      </c>
      <c r="AS1111" s="9">
        <v>0</v>
      </c>
      <c r="AT1111" s="9">
        <v>1</v>
      </c>
      <c r="AU1111" s="9">
        <v>7</v>
      </c>
      <c r="AV1111" s="9">
        <v>7</v>
      </c>
      <c r="AW1111" s="9">
        <v>9</v>
      </c>
      <c r="AX1111" s="9">
        <v>12</v>
      </c>
      <c r="AY1111" s="9">
        <v>8</v>
      </c>
      <c r="AZ1111" s="9">
        <v>11</v>
      </c>
    </row>
    <row r="1112" spans="2:52">
      <c r="B1112" t="str">
        <f t="shared" si="85"/>
        <v>Aug</v>
      </c>
      <c r="C1112" s="43">
        <f t="shared" si="86"/>
        <v>46257</v>
      </c>
      <c r="D1112" s="44">
        <f t="shared" si="87"/>
        <v>46253</v>
      </c>
      <c r="E1112" s="9" t="s">
        <v>207</v>
      </c>
      <c r="F1112">
        <f t="shared" si="88"/>
        <v>0</v>
      </c>
      <c r="G1112">
        <f t="shared" si="89"/>
        <v>0</v>
      </c>
      <c r="AJ1112" s="40">
        <v>46253</v>
      </c>
      <c r="AK1112" s="9" t="s">
        <v>203</v>
      </c>
      <c r="AL1112" s="9" t="s">
        <v>207</v>
      </c>
      <c r="AM1112" s="9"/>
      <c r="AN1112" s="9">
        <v>60</v>
      </c>
      <c r="AO1112" s="9">
        <v>55</v>
      </c>
      <c r="AP1112" s="9">
        <v>55</v>
      </c>
      <c r="AQ1112" s="9">
        <v>0</v>
      </c>
      <c r="AR1112" s="9">
        <v>10</v>
      </c>
      <c r="AS1112" s="9">
        <v>0</v>
      </c>
      <c r="AT1112" s="9">
        <v>0</v>
      </c>
      <c r="AU1112" s="9">
        <v>1</v>
      </c>
      <c r="AV1112" s="9">
        <v>0</v>
      </c>
      <c r="AW1112" s="9">
        <v>5</v>
      </c>
      <c r="AX1112" s="9">
        <v>4</v>
      </c>
      <c r="AY1112" s="9">
        <v>0</v>
      </c>
      <c r="AZ1112" s="9">
        <v>0</v>
      </c>
    </row>
    <row r="1113" spans="2:52">
      <c r="B1113" t="str">
        <f t="shared" si="85"/>
        <v>Aug</v>
      </c>
      <c r="C1113" s="43">
        <f t="shared" si="86"/>
        <v>46257</v>
      </c>
      <c r="D1113" s="44">
        <f t="shared" si="87"/>
        <v>46253</v>
      </c>
      <c r="E1113" s="9" t="s">
        <v>42</v>
      </c>
      <c r="F1113">
        <f t="shared" si="88"/>
        <v>0</v>
      </c>
      <c r="G1113">
        <f t="shared" si="89"/>
        <v>79</v>
      </c>
      <c r="AJ1113" s="40">
        <v>46253</v>
      </c>
      <c r="AK1113" s="9" t="s">
        <v>42</v>
      </c>
      <c r="AL1113" s="9" t="s">
        <v>42</v>
      </c>
      <c r="AM1113" s="9"/>
      <c r="AN1113" s="9">
        <v>36</v>
      </c>
      <c r="AO1113" s="9">
        <v>94</v>
      </c>
      <c r="AP1113" s="9">
        <v>100</v>
      </c>
      <c r="AQ1113" s="9">
        <v>95</v>
      </c>
      <c r="AR1113" s="9">
        <v>101</v>
      </c>
      <c r="AS1113" s="9">
        <v>107</v>
      </c>
      <c r="AT1113" s="9">
        <v>157</v>
      </c>
      <c r="AU1113" s="9">
        <v>161</v>
      </c>
      <c r="AV1113" s="9">
        <v>208</v>
      </c>
      <c r="AW1113" s="9">
        <v>240</v>
      </c>
      <c r="AX1113" s="9">
        <v>239</v>
      </c>
      <c r="AY1113" s="9">
        <v>240</v>
      </c>
      <c r="AZ1113" s="9">
        <v>240</v>
      </c>
    </row>
    <row r="1114" spans="2:52">
      <c r="B1114" t="str">
        <f t="shared" si="85"/>
        <v>Aug</v>
      </c>
      <c r="C1114" s="43">
        <f t="shared" si="86"/>
        <v>46257</v>
      </c>
      <c r="D1114" s="44">
        <f t="shared" si="87"/>
        <v>46254</v>
      </c>
      <c r="E1114" s="9" t="s">
        <v>31</v>
      </c>
      <c r="F1114">
        <f t="shared" si="88"/>
        <v>0</v>
      </c>
      <c r="G1114">
        <f t="shared" si="89"/>
        <v>-184</v>
      </c>
      <c r="AJ1114" s="40">
        <v>46254</v>
      </c>
      <c r="AK1114" s="9" t="s">
        <v>204</v>
      </c>
      <c r="AL1114" s="9" t="s">
        <v>31</v>
      </c>
      <c r="AM1114" s="9"/>
      <c r="AN1114" s="9">
        <v>149</v>
      </c>
      <c r="AO1114" s="9">
        <v>135</v>
      </c>
      <c r="AP1114" s="9">
        <v>145</v>
      </c>
      <c r="AQ1114" s="9">
        <v>141</v>
      </c>
      <c r="AR1114" s="9">
        <v>0</v>
      </c>
      <c r="AS1114" s="9">
        <v>14</v>
      </c>
      <c r="AT1114" s="9">
        <v>0</v>
      </c>
      <c r="AU1114" s="9">
        <v>44</v>
      </c>
      <c r="AV1114" s="9">
        <v>22</v>
      </c>
      <c r="AW1114" s="9">
        <v>0</v>
      </c>
      <c r="AX1114" s="9">
        <v>0</v>
      </c>
      <c r="AY1114" s="9">
        <v>12</v>
      </c>
      <c r="AZ1114" s="9">
        <v>0</v>
      </c>
    </row>
    <row r="1115" spans="2:52">
      <c r="B1115" t="str">
        <f t="shared" si="85"/>
        <v>Aug</v>
      </c>
      <c r="C1115" s="43">
        <f t="shared" si="86"/>
        <v>46257</v>
      </c>
      <c r="D1115" s="44">
        <f t="shared" si="87"/>
        <v>46254</v>
      </c>
      <c r="E1115" s="9" t="s">
        <v>39</v>
      </c>
      <c r="F1115">
        <f t="shared" si="88"/>
        <v>0</v>
      </c>
      <c r="G1115">
        <f t="shared" si="89"/>
        <v>-149</v>
      </c>
      <c r="AJ1115" s="40">
        <v>46254</v>
      </c>
      <c r="AK1115" s="9" t="s">
        <v>205</v>
      </c>
      <c r="AL1115" s="9" t="s">
        <v>39</v>
      </c>
      <c r="AM1115" s="9"/>
      <c r="AN1115" s="9">
        <v>0</v>
      </c>
      <c r="AO1115" s="9">
        <v>0</v>
      </c>
      <c r="AP1115" s="9">
        <v>44</v>
      </c>
      <c r="AQ1115" s="9">
        <v>49</v>
      </c>
      <c r="AR1115" s="9">
        <v>46</v>
      </c>
      <c r="AS1115" s="9">
        <v>31</v>
      </c>
      <c r="AT1115" s="9">
        <v>18</v>
      </c>
      <c r="AU1115" s="9">
        <v>23</v>
      </c>
      <c r="AV1115" s="9">
        <v>34</v>
      </c>
      <c r="AW1115" s="9">
        <v>42</v>
      </c>
      <c r="AX1115" s="9">
        <v>55</v>
      </c>
      <c r="AY1115" s="9">
        <v>42</v>
      </c>
      <c r="AZ1115" s="9">
        <v>14</v>
      </c>
    </row>
    <row r="1116" spans="2:52">
      <c r="B1116" t="str">
        <f t="shared" si="85"/>
        <v>Aug</v>
      </c>
      <c r="C1116" s="43">
        <f t="shared" si="86"/>
        <v>46257</v>
      </c>
      <c r="D1116" s="44">
        <f t="shared" si="87"/>
        <v>46254</v>
      </c>
      <c r="E1116" s="9" t="s">
        <v>40</v>
      </c>
      <c r="F1116">
        <f t="shared" si="88"/>
        <v>0</v>
      </c>
      <c r="G1116">
        <f t="shared" si="89"/>
        <v>-121</v>
      </c>
      <c r="AJ1116" s="40">
        <v>46254</v>
      </c>
      <c r="AK1116" s="9" t="s">
        <v>205</v>
      </c>
      <c r="AL1116" s="9" t="s">
        <v>40</v>
      </c>
      <c r="AM1116" s="9"/>
      <c r="AN1116" s="9">
        <v>78</v>
      </c>
      <c r="AO1116" s="9">
        <v>69</v>
      </c>
      <c r="AP1116" s="9">
        <v>61</v>
      </c>
      <c r="AQ1116" s="9">
        <v>63</v>
      </c>
      <c r="AR1116" s="9">
        <v>60</v>
      </c>
      <c r="AS1116" s="9">
        <v>67</v>
      </c>
      <c r="AT1116" s="9">
        <v>0</v>
      </c>
      <c r="AU1116" s="9">
        <v>10</v>
      </c>
      <c r="AV1116" s="9">
        <v>20</v>
      </c>
      <c r="AW1116" s="9">
        <v>17</v>
      </c>
      <c r="AX1116" s="9">
        <v>18</v>
      </c>
      <c r="AY1116" s="9">
        <v>30</v>
      </c>
      <c r="AZ1116" s="9">
        <v>73</v>
      </c>
    </row>
    <row r="1117" spans="2:52">
      <c r="B1117" t="str">
        <f t="shared" si="85"/>
        <v>Aug</v>
      </c>
      <c r="C1117" s="43">
        <f t="shared" si="86"/>
        <v>46257</v>
      </c>
      <c r="D1117" s="44">
        <f t="shared" si="87"/>
        <v>46254</v>
      </c>
      <c r="E1117" s="9" t="s">
        <v>41</v>
      </c>
      <c r="F1117">
        <f t="shared" si="88"/>
        <v>0</v>
      </c>
      <c r="G1117">
        <f t="shared" si="89"/>
        <v>-31</v>
      </c>
      <c r="AJ1117" s="40">
        <v>46254</v>
      </c>
      <c r="AK1117" s="9" t="s">
        <v>41</v>
      </c>
      <c r="AL1117" s="9" t="s">
        <v>41</v>
      </c>
      <c r="AM1117" s="9"/>
      <c r="AN1117" s="9">
        <v>36</v>
      </c>
      <c r="AO1117" s="9">
        <v>37</v>
      </c>
      <c r="AP1117" s="9">
        <v>33</v>
      </c>
      <c r="AQ1117" s="9">
        <v>36</v>
      </c>
      <c r="AR1117" s="9">
        <v>18</v>
      </c>
      <c r="AS1117" s="9">
        <v>71</v>
      </c>
      <c r="AT1117" s="9">
        <v>72</v>
      </c>
      <c r="AU1117" s="9">
        <v>0</v>
      </c>
      <c r="AV1117" s="9">
        <v>16</v>
      </c>
      <c r="AW1117" s="9">
        <v>35</v>
      </c>
      <c r="AX1117" s="9">
        <v>36</v>
      </c>
      <c r="AY1117" s="9">
        <v>32</v>
      </c>
      <c r="AZ1117" s="9">
        <v>32</v>
      </c>
    </row>
    <row r="1118" spans="2:52">
      <c r="B1118" t="str">
        <f t="shared" si="85"/>
        <v>Aug</v>
      </c>
      <c r="C1118" s="43">
        <f t="shared" si="86"/>
        <v>46257</v>
      </c>
      <c r="D1118" s="44">
        <f t="shared" si="87"/>
        <v>46254</v>
      </c>
      <c r="E1118" s="9" t="s">
        <v>45</v>
      </c>
      <c r="F1118">
        <f t="shared" si="88"/>
        <v>0</v>
      </c>
      <c r="G1118">
        <f t="shared" si="89"/>
        <v>-11</v>
      </c>
      <c r="AJ1118" s="40">
        <v>46254</v>
      </c>
      <c r="AK1118" s="9" t="s">
        <v>202</v>
      </c>
      <c r="AL1118" s="9" t="s">
        <v>45</v>
      </c>
      <c r="AM1118" s="9"/>
      <c r="AN1118" s="9">
        <v>119</v>
      </c>
      <c r="AO1118" s="9">
        <v>114</v>
      </c>
      <c r="AP1118" s="9">
        <v>144</v>
      </c>
      <c r="AQ1118" s="9">
        <v>140</v>
      </c>
      <c r="AR1118" s="9">
        <v>163</v>
      </c>
      <c r="AS1118" s="9">
        <v>169</v>
      </c>
      <c r="AT1118" s="9">
        <v>163</v>
      </c>
      <c r="AU1118" s="9">
        <v>232</v>
      </c>
      <c r="AV1118" s="9">
        <v>0</v>
      </c>
      <c r="AW1118" s="9">
        <v>0</v>
      </c>
      <c r="AX1118" s="9">
        <v>0</v>
      </c>
      <c r="AY1118" s="9">
        <v>9</v>
      </c>
      <c r="AZ1118" s="9">
        <v>11</v>
      </c>
    </row>
    <row r="1119" spans="2:52">
      <c r="B1119" t="str">
        <f t="shared" si="85"/>
        <v>Aug</v>
      </c>
      <c r="C1119" s="43">
        <f t="shared" si="86"/>
        <v>46257</v>
      </c>
      <c r="D1119" s="44">
        <f t="shared" si="87"/>
        <v>46254</v>
      </c>
      <c r="E1119" s="9" t="s">
        <v>46</v>
      </c>
      <c r="F1119">
        <f t="shared" si="88"/>
        <v>0</v>
      </c>
      <c r="G1119">
        <f t="shared" si="89"/>
        <v>107</v>
      </c>
      <c r="AJ1119" s="40">
        <v>46254</v>
      </c>
      <c r="AK1119" s="9" t="s">
        <v>202</v>
      </c>
      <c r="AL1119" s="9" t="s">
        <v>46</v>
      </c>
      <c r="AM1119" s="9"/>
      <c r="AN1119" s="9">
        <v>36</v>
      </c>
      <c r="AO1119" s="9">
        <v>77</v>
      </c>
      <c r="AP1119" s="9">
        <v>76</v>
      </c>
      <c r="AQ1119" s="9">
        <v>78</v>
      </c>
      <c r="AR1119" s="9">
        <v>76</v>
      </c>
      <c r="AS1119" s="9">
        <v>75</v>
      </c>
      <c r="AT1119" s="9">
        <v>72</v>
      </c>
      <c r="AU1119" s="9">
        <v>0</v>
      </c>
      <c r="AV1119" s="9">
        <v>0</v>
      </c>
      <c r="AW1119" s="9">
        <v>5</v>
      </c>
      <c r="AX1119" s="9">
        <v>55</v>
      </c>
      <c r="AY1119" s="9">
        <v>111</v>
      </c>
      <c r="AZ1119" s="9">
        <v>115</v>
      </c>
    </row>
    <row r="1120" spans="2:52">
      <c r="B1120" t="str">
        <f t="shared" si="85"/>
        <v>Aug</v>
      </c>
      <c r="C1120" s="43">
        <f t="shared" si="86"/>
        <v>46257</v>
      </c>
      <c r="D1120" s="44">
        <f t="shared" si="87"/>
        <v>46254</v>
      </c>
      <c r="E1120" s="9" t="s">
        <v>47</v>
      </c>
      <c r="F1120">
        <f t="shared" si="88"/>
        <v>0</v>
      </c>
      <c r="G1120">
        <f t="shared" si="89"/>
        <v>-83</v>
      </c>
      <c r="AJ1120" s="40">
        <v>46254</v>
      </c>
      <c r="AK1120" s="9" t="s">
        <v>202</v>
      </c>
      <c r="AL1120" s="9" t="s">
        <v>47</v>
      </c>
      <c r="AM1120" s="9"/>
      <c r="AN1120" s="9">
        <v>23</v>
      </c>
      <c r="AO1120" s="9">
        <v>0</v>
      </c>
      <c r="AP1120" s="9">
        <v>0</v>
      </c>
      <c r="AQ1120" s="9">
        <v>0</v>
      </c>
      <c r="AR1120" s="9">
        <v>2</v>
      </c>
      <c r="AS1120" s="9">
        <v>4</v>
      </c>
      <c r="AT1120" s="9">
        <v>2</v>
      </c>
      <c r="AU1120" s="9">
        <v>0</v>
      </c>
      <c r="AV1120" s="9">
        <v>14</v>
      </c>
      <c r="AW1120" s="9">
        <v>18</v>
      </c>
      <c r="AX1120" s="9">
        <v>16</v>
      </c>
      <c r="AY1120" s="9">
        <v>15</v>
      </c>
      <c r="AZ1120" s="9">
        <v>17</v>
      </c>
    </row>
    <row r="1121" spans="2:52">
      <c r="B1121" t="str">
        <f t="shared" si="85"/>
        <v>Aug</v>
      </c>
      <c r="C1121" s="43">
        <f t="shared" si="86"/>
        <v>46257</v>
      </c>
      <c r="D1121" s="44">
        <f t="shared" si="87"/>
        <v>46254</v>
      </c>
      <c r="E1121" s="9" t="s">
        <v>206</v>
      </c>
      <c r="F1121">
        <f t="shared" si="88"/>
        <v>0</v>
      </c>
      <c r="G1121">
        <f t="shared" si="89"/>
        <v>11</v>
      </c>
      <c r="AJ1121" s="40">
        <v>46254</v>
      </c>
      <c r="AK1121" s="9" t="s">
        <v>43</v>
      </c>
      <c r="AL1121" s="9" t="s">
        <v>206</v>
      </c>
      <c r="AM1121" s="9"/>
      <c r="AN1121" s="9">
        <v>16</v>
      </c>
      <c r="AO1121" s="9">
        <v>14</v>
      </c>
      <c r="AP1121" s="9">
        <v>6</v>
      </c>
      <c r="AQ1121" s="9">
        <v>11</v>
      </c>
      <c r="AR1121" s="9">
        <v>15</v>
      </c>
      <c r="AS1121" s="9">
        <v>15</v>
      </c>
      <c r="AT1121" s="9">
        <v>17</v>
      </c>
      <c r="AU1121" s="9">
        <v>21</v>
      </c>
      <c r="AV1121" s="9">
        <v>15</v>
      </c>
      <c r="AW1121" s="9">
        <v>8</v>
      </c>
      <c r="AX1121" s="9">
        <v>12</v>
      </c>
      <c r="AY1121" s="9">
        <v>19</v>
      </c>
      <c r="AZ1121" s="9">
        <v>22</v>
      </c>
    </row>
    <row r="1122" spans="2:52">
      <c r="B1122" t="str">
        <f t="shared" si="85"/>
        <v>Aug</v>
      </c>
      <c r="C1122" s="43">
        <f t="shared" si="86"/>
        <v>46257</v>
      </c>
      <c r="D1122" s="44">
        <f t="shared" si="87"/>
        <v>46254</v>
      </c>
      <c r="E1122" s="9" t="s">
        <v>207</v>
      </c>
      <c r="F1122">
        <f t="shared" si="88"/>
        <v>0</v>
      </c>
      <c r="G1122">
        <f t="shared" si="89"/>
        <v>8</v>
      </c>
      <c r="AJ1122" s="40">
        <v>46254</v>
      </c>
      <c r="AK1122" s="9" t="s">
        <v>203</v>
      </c>
      <c r="AL1122" s="9" t="s">
        <v>207</v>
      </c>
      <c r="AM1122" s="9"/>
      <c r="AN1122" s="9">
        <v>19</v>
      </c>
      <c r="AO1122" s="9">
        <v>23</v>
      </c>
      <c r="AP1122" s="9">
        <v>0</v>
      </c>
      <c r="AQ1122" s="9">
        <v>9</v>
      </c>
      <c r="AR1122" s="9">
        <v>1</v>
      </c>
      <c r="AS1122" s="9">
        <v>0</v>
      </c>
      <c r="AT1122" s="9">
        <v>0</v>
      </c>
      <c r="AU1122" s="9">
        <v>24</v>
      </c>
      <c r="AV1122" s="9">
        <v>16</v>
      </c>
      <c r="AW1122" s="9">
        <v>23</v>
      </c>
      <c r="AX1122" s="9">
        <v>27</v>
      </c>
      <c r="AY1122" s="9">
        <v>5</v>
      </c>
      <c r="AZ1122" s="9">
        <v>8</v>
      </c>
    </row>
    <row r="1123" spans="2:52">
      <c r="B1123" t="str">
        <f t="shared" si="85"/>
        <v>Aug</v>
      </c>
      <c r="C1123" s="43">
        <f t="shared" si="86"/>
        <v>46257</v>
      </c>
      <c r="D1123" s="44">
        <f t="shared" si="87"/>
        <v>46254</v>
      </c>
      <c r="E1123" s="9" t="s">
        <v>42</v>
      </c>
      <c r="F1123">
        <f t="shared" si="88"/>
        <v>0</v>
      </c>
      <c r="G1123">
        <f t="shared" si="89"/>
        <v>-240</v>
      </c>
      <c r="AJ1123" s="40">
        <v>46254</v>
      </c>
      <c r="AK1123" s="9" t="s">
        <v>42</v>
      </c>
      <c r="AL1123" s="9" t="s">
        <v>42</v>
      </c>
      <c r="AM1123" s="9"/>
      <c r="AN1123" s="9">
        <v>26</v>
      </c>
      <c r="AO1123" s="9">
        <v>27</v>
      </c>
      <c r="AP1123" s="9">
        <v>27</v>
      </c>
      <c r="AQ1123" s="9">
        <v>33</v>
      </c>
      <c r="AR1123" s="9">
        <v>51</v>
      </c>
      <c r="AS1123" s="9">
        <v>56</v>
      </c>
      <c r="AT1123" s="9">
        <v>0</v>
      </c>
      <c r="AU1123" s="9">
        <v>3</v>
      </c>
      <c r="AV1123" s="9">
        <v>2</v>
      </c>
      <c r="AW1123" s="9">
        <v>0</v>
      </c>
      <c r="AX1123" s="9">
        <v>20</v>
      </c>
      <c r="AY1123" s="9">
        <v>17</v>
      </c>
      <c r="AZ1123" s="9">
        <v>0</v>
      </c>
    </row>
    <row r="1124" spans="2:52">
      <c r="B1124" t="str">
        <f t="shared" si="85"/>
        <v>Aug</v>
      </c>
      <c r="C1124" s="43">
        <f t="shared" si="86"/>
        <v>46257</v>
      </c>
      <c r="D1124" s="44">
        <f t="shared" si="87"/>
        <v>46255</v>
      </c>
      <c r="E1124" s="9" t="s">
        <v>31</v>
      </c>
      <c r="F1124">
        <f t="shared" si="88"/>
        <v>0</v>
      </c>
      <c r="G1124">
        <f t="shared" si="89"/>
        <v>103</v>
      </c>
      <c r="AJ1124" s="40">
        <v>46255</v>
      </c>
      <c r="AK1124" s="9" t="s">
        <v>204</v>
      </c>
      <c r="AL1124" s="9" t="s">
        <v>31</v>
      </c>
      <c r="AM1124" s="9"/>
      <c r="AN1124" s="9">
        <v>129</v>
      </c>
      <c r="AO1124" s="9">
        <v>150</v>
      </c>
      <c r="AP1124" s="9">
        <v>132</v>
      </c>
      <c r="AQ1124" s="9">
        <v>130</v>
      </c>
      <c r="AR1124" s="9">
        <v>146</v>
      </c>
      <c r="AS1124" s="9">
        <v>135</v>
      </c>
      <c r="AT1124" s="9">
        <v>0</v>
      </c>
      <c r="AU1124" s="9">
        <v>70</v>
      </c>
      <c r="AV1124" s="9">
        <v>69</v>
      </c>
      <c r="AW1124" s="9">
        <v>90</v>
      </c>
      <c r="AX1124" s="9">
        <v>123</v>
      </c>
      <c r="AY1124" s="9">
        <v>120</v>
      </c>
      <c r="AZ1124" s="9">
        <v>103</v>
      </c>
    </row>
    <row r="1125" spans="2:52">
      <c r="B1125" t="str">
        <f t="shared" si="85"/>
        <v>Aug</v>
      </c>
      <c r="C1125" s="43">
        <f t="shared" si="86"/>
        <v>46257</v>
      </c>
      <c r="D1125" s="44">
        <f t="shared" si="87"/>
        <v>46255</v>
      </c>
      <c r="E1125" s="9" t="s">
        <v>39</v>
      </c>
      <c r="F1125">
        <f t="shared" si="88"/>
        <v>0</v>
      </c>
      <c r="G1125">
        <f t="shared" si="89"/>
        <v>26</v>
      </c>
      <c r="AJ1125" s="40">
        <v>46255</v>
      </c>
      <c r="AK1125" s="9" t="s">
        <v>205</v>
      </c>
      <c r="AL1125" s="9" t="s">
        <v>39</v>
      </c>
      <c r="AM1125" s="9"/>
      <c r="AN1125" s="9">
        <v>51</v>
      </c>
      <c r="AO1125" s="9">
        <v>0</v>
      </c>
      <c r="AP1125" s="9">
        <v>0</v>
      </c>
      <c r="AQ1125" s="9">
        <v>8</v>
      </c>
      <c r="AR1125" s="9">
        <v>3</v>
      </c>
      <c r="AS1125" s="9">
        <v>18</v>
      </c>
      <c r="AT1125" s="9">
        <v>31</v>
      </c>
      <c r="AU1125" s="9">
        <v>34</v>
      </c>
      <c r="AV1125" s="9">
        <v>47</v>
      </c>
      <c r="AW1125" s="9">
        <v>35</v>
      </c>
      <c r="AX1125" s="9">
        <v>45</v>
      </c>
      <c r="AY1125" s="9">
        <v>46</v>
      </c>
      <c r="AZ1125" s="9">
        <v>40</v>
      </c>
    </row>
    <row r="1126" spans="2:52">
      <c r="B1126" t="str">
        <f t="shared" si="85"/>
        <v>Aug</v>
      </c>
      <c r="C1126" s="43">
        <f t="shared" si="86"/>
        <v>46257</v>
      </c>
      <c r="D1126" s="44">
        <f t="shared" si="87"/>
        <v>46255</v>
      </c>
      <c r="E1126" s="9" t="s">
        <v>40</v>
      </c>
      <c r="F1126">
        <f t="shared" si="88"/>
        <v>0</v>
      </c>
      <c r="G1126">
        <f t="shared" si="89"/>
        <v>-73</v>
      </c>
      <c r="AJ1126" s="40">
        <v>46255</v>
      </c>
      <c r="AK1126" s="9" t="s">
        <v>205</v>
      </c>
      <c r="AL1126" s="9" t="s">
        <v>40</v>
      </c>
      <c r="AM1126" s="9"/>
      <c r="AN1126" s="9">
        <v>41</v>
      </c>
      <c r="AO1126" s="9">
        <v>46</v>
      </c>
      <c r="AP1126" s="9">
        <v>100</v>
      </c>
      <c r="AQ1126" s="9">
        <v>94</v>
      </c>
      <c r="AR1126" s="9">
        <v>48</v>
      </c>
      <c r="AS1126" s="9">
        <v>0</v>
      </c>
      <c r="AT1126" s="9">
        <v>0</v>
      </c>
      <c r="AU1126" s="9">
        <v>0</v>
      </c>
      <c r="AV1126" s="9">
        <v>0</v>
      </c>
      <c r="AW1126" s="9">
        <v>33</v>
      </c>
      <c r="AX1126" s="9">
        <v>0</v>
      </c>
      <c r="AY1126" s="9">
        <v>16</v>
      </c>
      <c r="AZ1126" s="9">
        <v>0</v>
      </c>
    </row>
    <row r="1127" spans="2:52">
      <c r="B1127" t="str">
        <f t="shared" si="85"/>
        <v>Aug</v>
      </c>
      <c r="C1127" s="43">
        <f t="shared" si="86"/>
        <v>46257</v>
      </c>
      <c r="D1127" s="44">
        <f t="shared" si="87"/>
        <v>46255</v>
      </c>
      <c r="E1127" s="9" t="s">
        <v>41</v>
      </c>
      <c r="F1127">
        <f t="shared" si="88"/>
        <v>0</v>
      </c>
      <c r="G1127">
        <f t="shared" si="89"/>
        <v>89</v>
      </c>
      <c r="AJ1127" s="40">
        <v>46255</v>
      </c>
      <c r="AK1127" s="9" t="s">
        <v>41</v>
      </c>
      <c r="AL1127" s="9" t="s">
        <v>41</v>
      </c>
      <c r="AM1127" s="9"/>
      <c r="AN1127" s="9">
        <v>27</v>
      </c>
      <c r="AO1127" s="9">
        <v>24</v>
      </c>
      <c r="AP1127" s="9">
        <v>26</v>
      </c>
      <c r="AQ1127" s="9">
        <v>28</v>
      </c>
      <c r="AR1127" s="9">
        <v>31</v>
      </c>
      <c r="AS1127" s="9">
        <v>145</v>
      </c>
      <c r="AT1127" s="9">
        <v>148</v>
      </c>
      <c r="AU1127" s="9">
        <v>121</v>
      </c>
      <c r="AV1127" s="9">
        <v>124</v>
      </c>
      <c r="AW1127" s="9">
        <v>120</v>
      </c>
      <c r="AX1127" s="9">
        <v>120</v>
      </c>
      <c r="AY1127" s="9">
        <v>120</v>
      </c>
      <c r="AZ1127" s="9">
        <v>121</v>
      </c>
    </row>
    <row r="1128" spans="2:52">
      <c r="B1128" t="str">
        <f t="shared" si="85"/>
        <v>Aug</v>
      </c>
      <c r="C1128" s="43">
        <f t="shared" si="86"/>
        <v>46257</v>
      </c>
      <c r="D1128" s="44">
        <f t="shared" si="87"/>
        <v>46255</v>
      </c>
      <c r="E1128" s="9" t="s">
        <v>45</v>
      </c>
      <c r="F1128">
        <f t="shared" si="88"/>
        <v>0</v>
      </c>
      <c r="G1128">
        <f t="shared" si="89"/>
        <v>82</v>
      </c>
      <c r="AJ1128" s="40">
        <v>46255</v>
      </c>
      <c r="AK1128" s="9" t="s">
        <v>202</v>
      </c>
      <c r="AL1128" s="9" t="s">
        <v>45</v>
      </c>
      <c r="AM1128" s="9"/>
      <c r="AN1128" s="9">
        <v>50</v>
      </c>
      <c r="AO1128" s="9">
        <v>97</v>
      </c>
      <c r="AP1128" s="9">
        <v>101</v>
      </c>
      <c r="AQ1128" s="9">
        <v>95</v>
      </c>
      <c r="AR1128" s="9">
        <v>94</v>
      </c>
      <c r="AS1128" s="9">
        <v>92</v>
      </c>
      <c r="AT1128" s="9">
        <v>92</v>
      </c>
      <c r="AU1128" s="9">
        <v>93</v>
      </c>
      <c r="AV1128" s="9">
        <v>99</v>
      </c>
      <c r="AW1128" s="9">
        <v>66</v>
      </c>
      <c r="AX1128" s="9">
        <v>59</v>
      </c>
      <c r="AY1128" s="9">
        <v>92</v>
      </c>
      <c r="AZ1128" s="9">
        <v>93</v>
      </c>
    </row>
    <row r="1129" spans="2:52">
      <c r="B1129" t="str">
        <f t="shared" si="85"/>
        <v>Aug</v>
      </c>
      <c r="C1129" s="43">
        <f t="shared" si="86"/>
        <v>46257</v>
      </c>
      <c r="D1129" s="44">
        <f t="shared" si="87"/>
        <v>46255</v>
      </c>
      <c r="E1129" s="9" t="s">
        <v>46</v>
      </c>
      <c r="F1129">
        <f t="shared" si="88"/>
        <v>0</v>
      </c>
      <c r="G1129">
        <f t="shared" si="89"/>
        <v>-77</v>
      </c>
      <c r="AJ1129" s="40">
        <v>46255</v>
      </c>
      <c r="AK1129" s="9" t="s">
        <v>202</v>
      </c>
      <c r="AL1129" s="9" t="s">
        <v>46</v>
      </c>
      <c r="AM1129" s="9"/>
      <c r="AN1129" s="9">
        <v>8</v>
      </c>
      <c r="AO1129" s="9">
        <v>10</v>
      </c>
      <c r="AP1129" s="9">
        <v>11</v>
      </c>
      <c r="AQ1129" s="9">
        <v>11</v>
      </c>
      <c r="AR1129" s="9">
        <v>14</v>
      </c>
      <c r="AS1129" s="9">
        <v>0</v>
      </c>
      <c r="AT1129" s="9">
        <v>13</v>
      </c>
      <c r="AU1129" s="9">
        <v>10</v>
      </c>
      <c r="AV1129" s="9">
        <v>14</v>
      </c>
      <c r="AW1129" s="9">
        <v>11</v>
      </c>
      <c r="AX1129" s="9">
        <v>37</v>
      </c>
      <c r="AY1129" s="9">
        <v>33</v>
      </c>
      <c r="AZ1129" s="9">
        <v>38</v>
      </c>
    </row>
    <row r="1130" spans="2:52">
      <c r="B1130" t="str">
        <f t="shared" si="85"/>
        <v>Aug</v>
      </c>
      <c r="C1130" s="43">
        <f t="shared" si="86"/>
        <v>46257</v>
      </c>
      <c r="D1130" s="44">
        <f t="shared" si="87"/>
        <v>46255</v>
      </c>
      <c r="E1130" s="9" t="s">
        <v>47</v>
      </c>
      <c r="F1130">
        <f t="shared" si="88"/>
        <v>0</v>
      </c>
      <c r="G1130">
        <f t="shared" si="89"/>
        <v>-17</v>
      </c>
      <c r="AJ1130" s="40">
        <v>46255</v>
      </c>
      <c r="AK1130" s="9" t="s">
        <v>202</v>
      </c>
      <c r="AL1130" s="9" t="s">
        <v>47</v>
      </c>
      <c r="AM1130" s="9"/>
      <c r="AN1130" s="9">
        <v>33</v>
      </c>
      <c r="AO1130" s="9">
        <v>38</v>
      </c>
      <c r="AP1130" s="9">
        <v>37</v>
      </c>
      <c r="AQ1130" s="9">
        <v>39</v>
      </c>
      <c r="AR1130" s="9">
        <v>39</v>
      </c>
      <c r="AS1130" s="9">
        <v>0</v>
      </c>
      <c r="AT1130" s="9">
        <v>1</v>
      </c>
      <c r="AU1130" s="9">
        <v>4</v>
      </c>
      <c r="AV1130" s="9">
        <v>8</v>
      </c>
      <c r="AW1130" s="9">
        <v>0</v>
      </c>
      <c r="AX1130" s="9">
        <v>13</v>
      </c>
      <c r="AY1130" s="9">
        <v>0</v>
      </c>
      <c r="AZ1130" s="9">
        <v>0</v>
      </c>
    </row>
    <row r="1131" spans="2:52">
      <c r="B1131" t="str">
        <f t="shared" si="85"/>
        <v>Aug</v>
      </c>
      <c r="C1131" s="43">
        <f t="shared" si="86"/>
        <v>46257</v>
      </c>
      <c r="D1131" s="44">
        <f t="shared" si="87"/>
        <v>46255</v>
      </c>
      <c r="E1131" s="9" t="s">
        <v>206</v>
      </c>
      <c r="F1131">
        <f t="shared" si="88"/>
        <v>0</v>
      </c>
      <c r="G1131">
        <f t="shared" si="89"/>
        <v>-13</v>
      </c>
      <c r="AJ1131" s="40">
        <v>46255</v>
      </c>
      <c r="AK1131" s="9" t="s">
        <v>43</v>
      </c>
      <c r="AL1131" s="9" t="s">
        <v>206</v>
      </c>
      <c r="AM1131" s="9"/>
      <c r="AN1131" s="9">
        <v>56</v>
      </c>
      <c r="AO1131" s="9">
        <v>0</v>
      </c>
      <c r="AP1131" s="9">
        <v>26</v>
      </c>
      <c r="AQ1131" s="9">
        <v>25</v>
      </c>
      <c r="AR1131" s="9">
        <v>19</v>
      </c>
      <c r="AS1131" s="9">
        <v>20</v>
      </c>
      <c r="AT1131" s="9">
        <v>0</v>
      </c>
      <c r="AU1131" s="9">
        <v>1</v>
      </c>
      <c r="AV1131" s="9">
        <v>0</v>
      </c>
      <c r="AW1131" s="9">
        <v>0</v>
      </c>
      <c r="AX1131" s="9">
        <v>0</v>
      </c>
      <c r="AY1131" s="9">
        <v>12</v>
      </c>
      <c r="AZ1131" s="9">
        <v>9</v>
      </c>
    </row>
    <row r="1132" spans="2:52">
      <c r="B1132" t="str">
        <f t="shared" si="85"/>
        <v>Aug</v>
      </c>
      <c r="C1132" s="43">
        <f t="shared" si="86"/>
        <v>46257</v>
      </c>
      <c r="D1132" s="44">
        <f t="shared" si="87"/>
        <v>46255</v>
      </c>
      <c r="E1132" s="9" t="s">
        <v>207</v>
      </c>
      <c r="F1132">
        <f t="shared" si="88"/>
        <v>0</v>
      </c>
      <c r="G1132">
        <f t="shared" si="89"/>
        <v>-8</v>
      </c>
      <c r="AJ1132" s="40">
        <v>46255</v>
      </c>
      <c r="AK1132" s="9" t="s">
        <v>203</v>
      </c>
      <c r="AL1132" s="9" t="s">
        <v>207</v>
      </c>
      <c r="AM1132" s="9"/>
      <c r="AN1132" s="9">
        <v>27</v>
      </c>
      <c r="AO1132" s="9">
        <v>0</v>
      </c>
      <c r="AP1132" s="9">
        <v>0</v>
      </c>
      <c r="AQ1132" s="9">
        <v>2</v>
      </c>
      <c r="AR1132" s="9">
        <v>9</v>
      </c>
      <c r="AS1132" s="9">
        <v>15</v>
      </c>
      <c r="AT1132" s="9">
        <v>0</v>
      </c>
      <c r="AU1132" s="9">
        <v>0</v>
      </c>
      <c r="AV1132" s="9">
        <v>24</v>
      </c>
      <c r="AW1132" s="9">
        <v>0</v>
      </c>
      <c r="AX1132" s="9">
        <v>0</v>
      </c>
      <c r="AY1132" s="9">
        <v>0</v>
      </c>
      <c r="AZ1132" s="9">
        <v>0</v>
      </c>
    </row>
    <row r="1133" spans="2:52">
      <c r="B1133" t="str">
        <f t="shared" si="85"/>
        <v>Aug</v>
      </c>
      <c r="C1133" s="43">
        <f t="shared" si="86"/>
        <v>46257</v>
      </c>
      <c r="D1133" s="44">
        <f t="shared" si="87"/>
        <v>46255</v>
      </c>
      <c r="E1133" s="9" t="s">
        <v>42</v>
      </c>
      <c r="F1133">
        <f t="shared" si="88"/>
        <v>0</v>
      </c>
      <c r="G1133">
        <f t="shared" si="89"/>
        <v>8</v>
      </c>
      <c r="AJ1133" s="40">
        <v>46255</v>
      </c>
      <c r="AK1133" s="9" t="s">
        <v>42</v>
      </c>
      <c r="AL1133" s="9" t="s">
        <v>42</v>
      </c>
      <c r="AM1133" s="9"/>
      <c r="AN1133" s="9">
        <v>0</v>
      </c>
      <c r="AO1133" s="9">
        <v>15</v>
      </c>
      <c r="AP1133" s="9">
        <v>17</v>
      </c>
      <c r="AQ1133" s="9">
        <v>11</v>
      </c>
      <c r="AR1133" s="9">
        <v>49</v>
      </c>
      <c r="AS1133" s="9">
        <v>43</v>
      </c>
      <c r="AT1133" s="9">
        <v>3</v>
      </c>
      <c r="AU1133" s="9">
        <v>4</v>
      </c>
      <c r="AV1133" s="9">
        <v>0</v>
      </c>
      <c r="AW1133" s="9">
        <v>0</v>
      </c>
      <c r="AX1133" s="9">
        <v>9</v>
      </c>
      <c r="AY1133" s="9">
        <v>4</v>
      </c>
      <c r="AZ1133" s="9">
        <v>8</v>
      </c>
    </row>
    <row r="1134" spans="2:52">
      <c r="B1134" t="str">
        <f t="shared" si="85"/>
        <v>Aug</v>
      </c>
      <c r="C1134" s="43">
        <f t="shared" si="86"/>
        <v>46257</v>
      </c>
      <c r="D1134" s="44">
        <f t="shared" si="87"/>
        <v>46256</v>
      </c>
      <c r="E1134" s="9" t="s">
        <v>31</v>
      </c>
      <c r="F1134">
        <f t="shared" si="88"/>
        <v>0</v>
      </c>
      <c r="G1134">
        <f t="shared" si="89"/>
        <v>137</v>
      </c>
      <c r="AJ1134" s="40">
        <v>46256</v>
      </c>
      <c r="AK1134" s="9" t="s">
        <v>204</v>
      </c>
      <c r="AL1134" s="9" t="s">
        <v>31</v>
      </c>
      <c r="AM1134" s="9"/>
      <c r="AN1134" s="9">
        <v>140</v>
      </c>
      <c r="AO1134" s="9">
        <v>146</v>
      </c>
      <c r="AP1134" s="9">
        <v>162</v>
      </c>
      <c r="AQ1134" s="9">
        <v>240</v>
      </c>
      <c r="AR1134" s="9">
        <v>223</v>
      </c>
      <c r="AS1134" s="9">
        <v>232</v>
      </c>
      <c r="AT1134" s="9">
        <v>238</v>
      </c>
      <c r="AU1134" s="9">
        <v>235</v>
      </c>
      <c r="AV1134" s="9">
        <v>232</v>
      </c>
      <c r="AW1134" s="9">
        <v>240</v>
      </c>
      <c r="AX1134" s="9">
        <v>240</v>
      </c>
      <c r="AY1134" s="9">
        <v>228</v>
      </c>
      <c r="AZ1134" s="9">
        <v>240</v>
      </c>
    </row>
    <row r="1135" spans="2:52">
      <c r="B1135" t="str">
        <f t="shared" si="85"/>
        <v>Aug</v>
      </c>
      <c r="C1135" s="43">
        <f t="shared" si="86"/>
        <v>46257</v>
      </c>
      <c r="D1135" s="44">
        <f t="shared" si="87"/>
        <v>46256</v>
      </c>
      <c r="E1135" s="9" t="s">
        <v>39</v>
      </c>
      <c r="F1135">
        <f t="shared" si="88"/>
        <v>0</v>
      </c>
      <c r="G1135">
        <f t="shared" si="89"/>
        <v>112</v>
      </c>
      <c r="AJ1135" s="40">
        <v>46256</v>
      </c>
      <c r="AK1135" s="9" t="s">
        <v>205</v>
      </c>
      <c r="AL1135" s="9" t="s">
        <v>39</v>
      </c>
      <c r="AM1135" s="9"/>
      <c r="AN1135" s="9">
        <v>195</v>
      </c>
      <c r="AO1135" s="9">
        <v>189</v>
      </c>
      <c r="AP1135" s="9">
        <v>202</v>
      </c>
      <c r="AQ1135" s="9">
        <v>196</v>
      </c>
      <c r="AR1135" s="9">
        <v>186</v>
      </c>
      <c r="AS1135" s="9">
        <v>190</v>
      </c>
      <c r="AT1135" s="9">
        <v>176</v>
      </c>
      <c r="AU1135" s="9">
        <v>163</v>
      </c>
      <c r="AV1135" s="9">
        <v>168</v>
      </c>
      <c r="AW1135" s="9">
        <v>161</v>
      </c>
      <c r="AX1135" s="9">
        <v>157</v>
      </c>
      <c r="AY1135" s="9">
        <v>162</v>
      </c>
      <c r="AZ1135" s="9">
        <v>152</v>
      </c>
    </row>
    <row r="1136" spans="2:52">
      <c r="B1136" t="str">
        <f t="shared" si="85"/>
        <v>Aug</v>
      </c>
      <c r="C1136" s="43">
        <f t="shared" si="86"/>
        <v>46257</v>
      </c>
      <c r="D1136" s="44">
        <f t="shared" si="87"/>
        <v>46256</v>
      </c>
      <c r="E1136" s="9" t="s">
        <v>40</v>
      </c>
      <c r="F1136">
        <f t="shared" si="88"/>
        <v>0</v>
      </c>
      <c r="G1136">
        <f t="shared" si="89"/>
        <v>127</v>
      </c>
      <c r="AJ1136" s="40">
        <v>46256</v>
      </c>
      <c r="AK1136" s="9" t="s">
        <v>205</v>
      </c>
      <c r="AL1136" s="9" t="s">
        <v>40</v>
      </c>
      <c r="AM1136" s="9"/>
      <c r="AN1136" s="9">
        <v>34</v>
      </c>
      <c r="AO1136" s="9">
        <v>7</v>
      </c>
      <c r="AP1136" s="9">
        <v>0</v>
      </c>
      <c r="AQ1136" s="9">
        <v>15</v>
      </c>
      <c r="AR1136" s="9">
        <v>141</v>
      </c>
      <c r="AS1136" s="9">
        <v>143</v>
      </c>
      <c r="AT1136" s="9">
        <v>141</v>
      </c>
      <c r="AU1136" s="9">
        <v>151</v>
      </c>
      <c r="AV1136" s="9">
        <v>143</v>
      </c>
      <c r="AW1136" s="9">
        <v>145</v>
      </c>
      <c r="AX1136" s="9">
        <v>143</v>
      </c>
      <c r="AY1136" s="9">
        <v>133</v>
      </c>
      <c r="AZ1136" s="9">
        <v>127</v>
      </c>
    </row>
    <row r="1137" spans="2:52">
      <c r="B1137" t="str">
        <f t="shared" si="85"/>
        <v>Aug</v>
      </c>
      <c r="C1137" s="43">
        <f t="shared" si="86"/>
        <v>46257</v>
      </c>
      <c r="D1137" s="44">
        <f t="shared" si="87"/>
        <v>46256</v>
      </c>
      <c r="E1137" s="9" t="s">
        <v>41</v>
      </c>
      <c r="F1137">
        <f t="shared" si="88"/>
        <v>0</v>
      </c>
      <c r="G1137">
        <f t="shared" si="89"/>
        <v>-117</v>
      </c>
      <c r="AJ1137" s="40">
        <v>46256</v>
      </c>
      <c r="AK1137" s="9" t="s">
        <v>41</v>
      </c>
      <c r="AL1137" s="9" t="s">
        <v>41</v>
      </c>
      <c r="AM1137" s="9"/>
      <c r="AN1137" s="9">
        <v>36</v>
      </c>
      <c r="AO1137" s="9">
        <v>34</v>
      </c>
      <c r="AP1137" s="9">
        <v>31</v>
      </c>
      <c r="AQ1137" s="9">
        <v>0</v>
      </c>
      <c r="AR1137" s="9">
        <v>8</v>
      </c>
      <c r="AS1137" s="9">
        <v>10</v>
      </c>
      <c r="AT1137" s="9">
        <v>0</v>
      </c>
      <c r="AU1137" s="9">
        <v>0</v>
      </c>
      <c r="AV1137" s="9">
        <v>1</v>
      </c>
      <c r="AW1137" s="9">
        <v>0</v>
      </c>
      <c r="AX1137" s="9">
        <v>4</v>
      </c>
      <c r="AY1137" s="9">
        <v>5</v>
      </c>
      <c r="AZ1137" s="9">
        <v>4</v>
      </c>
    </row>
    <row r="1138" spans="2:52">
      <c r="B1138" t="str">
        <f t="shared" si="85"/>
        <v>Aug</v>
      </c>
      <c r="C1138" s="43">
        <f t="shared" si="86"/>
        <v>46257</v>
      </c>
      <c r="D1138" s="44">
        <f t="shared" si="87"/>
        <v>46256</v>
      </c>
      <c r="E1138" s="9" t="s">
        <v>45</v>
      </c>
      <c r="F1138">
        <f t="shared" si="88"/>
        <v>0</v>
      </c>
      <c r="G1138">
        <f t="shared" si="89"/>
        <v>-92</v>
      </c>
      <c r="AJ1138" s="40">
        <v>46256</v>
      </c>
      <c r="AK1138" s="9" t="s">
        <v>202</v>
      </c>
      <c r="AL1138" s="9" t="s">
        <v>45</v>
      </c>
      <c r="AM1138" s="9"/>
      <c r="AN1138" s="9">
        <v>56</v>
      </c>
      <c r="AO1138" s="9">
        <v>60</v>
      </c>
      <c r="AP1138" s="9">
        <v>63</v>
      </c>
      <c r="AQ1138" s="9">
        <v>59</v>
      </c>
      <c r="AR1138" s="9">
        <v>0</v>
      </c>
      <c r="AS1138" s="9">
        <v>6</v>
      </c>
      <c r="AT1138" s="9">
        <v>0</v>
      </c>
      <c r="AU1138" s="9">
        <v>0</v>
      </c>
      <c r="AV1138" s="9">
        <v>22</v>
      </c>
      <c r="AW1138" s="9">
        <v>29</v>
      </c>
      <c r="AX1138" s="9">
        <v>0</v>
      </c>
      <c r="AY1138" s="9">
        <v>0</v>
      </c>
      <c r="AZ1138" s="9">
        <v>1</v>
      </c>
    </row>
    <row r="1139" spans="2:52">
      <c r="B1139" t="str">
        <f t="shared" si="85"/>
        <v>Aug</v>
      </c>
      <c r="C1139" s="43">
        <f t="shared" si="86"/>
        <v>46257</v>
      </c>
      <c r="D1139" s="44">
        <f t="shared" si="87"/>
        <v>46256</v>
      </c>
      <c r="E1139" s="9" t="s">
        <v>46</v>
      </c>
      <c r="F1139">
        <f t="shared" si="88"/>
        <v>0</v>
      </c>
      <c r="G1139">
        <f t="shared" si="89"/>
        <v>115</v>
      </c>
      <c r="AJ1139" s="40">
        <v>46256</v>
      </c>
      <c r="AK1139" s="9" t="s">
        <v>202</v>
      </c>
      <c r="AL1139" s="9" t="s">
        <v>46</v>
      </c>
      <c r="AM1139" s="9"/>
      <c r="AN1139" s="9">
        <v>36</v>
      </c>
      <c r="AO1139" s="9">
        <v>0</v>
      </c>
      <c r="AP1139" s="9">
        <v>9</v>
      </c>
      <c r="AQ1139" s="9">
        <v>31</v>
      </c>
      <c r="AR1139" s="9">
        <v>32</v>
      </c>
      <c r="AS1139" s="9">
        <v>0</v>
      </c>
      <c r="AT1139" s="9">
        <v>5</v>
      </c>
      <c r="AU1139" s="9">
        <v>171</v>
      </c>
      <c r="AV1139" s="9">
        <v>0</v>
      </c>
      <c r="AW1139" s="9">
        <v>11</v>
      </c>
      <c r="AX1139" s="9">
        <v>15</v>
      </c>
      <c r="AY1139" s="9">
        <v>14</v>
      </c>
      <c r="AZ1139" s="9">
        <v>153</v>
      </c>
    </row>
    <row r="1140" spans="2:52">
      <c r="B1140" t="str">
        <f t="shared" si="85"/>
        <v>Aug</v>
      </c>
      <c r="C1140" s="43">
        <f t="shared" si="86"/>
        <v>46257</v>
      </c>
      <c r="D1140" s="44">
        <f t="shared" si="87"/>
        <v>46256</v>
      </c>
      <c r="E1140" s="9" t="s">
        <v>47</v>
      </c>
      <c r="F1140">
        <f t="shared" si="88"/>
        <v>0</v>
      </c>
      <c r="G1140">
        <f t="shared" si="89"/>
        <v>96</v>
      </c>
      <c r="AJ1140" s="40">
        <v>46256</v>
      </c>
      <c r="AK1140" s="9" t="s">
        <v>202</v>
      </c>
      <c r="AL1140" s="9" t="s">
        <v>47</v>
      </c>
      <c r="AM1140" s="9"/>
      <c r="AN1140" s="9">
        <v>0</v>
      </c>
      <c r="AO1140" s="9">
        <v>12</v>
      </c>
      <c r="AP1140" s="9">
        <v>16</v>
      </c>
      <c r="AQ1140" s="9">
        <v>0</v>
      </c>
      <c r="AR1140" s="9">
        <v>2</v>
      </c>
      <c r="AS1140" s="9">
        <v>63</v>
      </c>
      <c r="AT1140" s="9">
        <v>67</v>
      </c>
      <c r="AU1140" s="9">
        <v>72</v>
      </c>
      <c r="AV1140" s="9">
        <v>94</v>
      </c>
      <c r="AW1140" s="9">
        <v>94</v>
      </c>
      <c r="AX1140" s="9">
        <v>97</v>
      </c>
      <c r="AY1140" s="9">
        <v>96</v>
      </c>
      <c r="AZ1140" s="9">
        <v>96</v>
      </c>
    </row>
    <row r="1141" spans="2:52">
      <c r="B1141" t="str">
        <f t="shared" si="85"/>
        <v>Aug</v>
      </c>
      <c r="C1141" s="43">
        <f t="shared" si="86"/>
        <v>46257</v>
      </c>
      <c r="D1141" s="44">
        <f t="shared" si="87"/>
        <v>46256</v>
      </c>
      <c r="E1141" s="9" t="s">
        <v>206</v>
      </c>
      <c r="F1141">
        <f t="shared" si="88"/>
        <v>0</v>
      </c>
      <c r="G1141">
        <f t="shared" si="89"/>
        <v>-9</v>
      </c>
      <c r="AJ1141" s="40">
        <v>46256</v>
      </c>
      <c r="AK1141" s="9" t="s">
        <v>43</v>
      </c>
      <c r="AL1141" s="9" t="s">
        <v>206</v>
      </c>
      <c r="AM1141" s="9"/>
      <c r="AN1141" s="9">
        <v>45</v>
      </c>
      <c r="AO1141" s="9">
        <v>54</v>
      </c>
      <c r="AP1141" s="9">
        <v>98</v>
      </c>
      <c r="AQ1141" s="9">
        <v>100</v>
      </c>
      <c r="AR1141" s="9">
        <v>94</v>
      </c>
      <c r="AS1141" s="9">
        <v>43</v>
      </c>
      <c r="AT1141" s="9">
        <v>41</v>
      </c>
      <c r="AU1141" s="9">
        <v>48</v>
      </c>
      <c r="AV1141" s="9">
        <v>49</v>
      </c>
      <c r="AW1141" s="9">
        <v>149</v>
      </c>
      <c r="AX1141" s="9">
        <v>152</v>
      </c>
      <c r="AY1141" s="9">
        <v>0</v>
      </c>
      <c r="AZ1141" s="9">
        <v>0</v>
      </c>
    </row>
    <row r="1142" spans="2:52">
      <c r="B1142" t="str">
        <f t="shared" si="85"/>
        <v>Aug</v>
      </c>
      <c r="C1142" s="43">
        <f t="shared" si="86"/>
        <v>46257</v>
      </c>
      <c r="D1142" s="44">
        <f t="shared" si="87"/>
        <v>46256</v>
      </c>
      <c r="E1142" s="9" t="s">
        <v>207</v>
      </c>
      <c r="F1142">
        <f t="shared" si="88"/>
        <v>0</v>
      </c>
      <c r="G1142">
        <f t="shared" si="89"/>
        <v>74</v>
      </c>
      <c r="AJ1142" s="40">
        <v>46256</v>
      </c>
      <c r="AK1142" s="9" t="s">
        <v>203</v>
      </c>
      <c r="AL1142" s="9" t="s">
        <v>207</v>
      </c>
      <c r="AM1142" s="9"/>
      <c r="AN1142" s="9">
        <v>0</v>
      </c>
      <c r="AO1142" s="9">
        <v>0</v>
      </c>
      <c r="AP1142" s="9">
        <v>16</v>
      </c>
      <c r="AQ1142" s="9">
        <v>9</v>
      </c>
      <c r="AR1142" s="9">
        <v>0</v>
      </c>
      <c r="AS1142" s="9">
        <v>8</v>
      </c>
      <c r="AT1142" s="9">
        <v>12</v>
      </c>
      <c r="AU1142" s="9">
        <v>5</v>
      </c>
      <c r="AV1142" s="9">
        <v>71</v>
      </c>
      <c r="AW1142" s="9">
        <v>69</v>
      </c>
      <c r="AX1142" s="9">
        <v>80</v>
      </c>
      <c r="AY1142" s="9">
        <v>82</v>
      </c>
      <c r="AZ1142" s="9">
        <v>74</v>
      </c>
    </row>
    <row r="1143" spans="2:52">
      <c r="B1143" t="str">
        <f t="shared" si="85"/>
        <v>Aug</v>
      </c>
      <c r="C1143" s="43">
        <f t="shared" si="86"/>
        <v>46257</v>
      </c>
      <c r="D1143" s="44">
        <f t="shared" si="87"/>
        <v>46256</v>
      </c>
      <c r="E1143" s="9" t="s">
        <v>42</v>
      </c>
      <c r="F1143">
        <f t="shared" si="88"/>
        <v>0</v>
      </c>
      <c r="G1143">
        <f t="shared" si="89"/>
        <v>88</v>
      </c>
      <c r="AJ1143" s="40">
        <v>46256</v>
      </c>
      <c r="AK1143" s="9" t="s">
        <v>42</v>
      </c>
      <c r="AL1143" s="9" t="s">
        <v>42</v>
      </c>
      <c r="AM1143" s="9"/>
      <c r="AN1143" s="9">
        <v>27</v>
      </c>
      <c r="AO1143" s="9">
        <v>25</v>
      </c>
      <c r="AP1143" s="9">
        <v>90</v>
      </c>
      <c r="AQ1143" s="9">
        <v>84</v>
      </c>
      <c r="AR1143" s="9">
        <v>80</v>
      </c>
      <c r="AS1143" s="9">
        <v>77</v>
      </c>
      <c r="AT1143" s="9">
        <v>0</v>
      </c>
      <c r="AU1143" s="9">
        <v>0</v>
      </c>
      <c r="AV1143" s="9">
        <v>24</v>
      </c>
      <c r="AW1143" s="9">
        <v>19</v>
      </c>
      <c r="AX1143" s="9">
        <v>22</v>
      </c>
      <c r="AY1143" s="9">
        <v>131</v>
      </c>
      <c r="AZ1143" s="9">
        <v>96</v>
      </c>
    </row>
    <row r="1144" spans="2:52">
      <c r="B1144" t="str">
        <f t="shared" si="85"/>
        <v>Aug</v>
      </c>
      <c r="C1144" s="43">
        <f t="shared" si="86"/>
        <v>46264</v>
      </c>
      <c r="D1144" s="44">
        <f t="shared" si="87"/>
        <v>46257</v>
      </c>
      <c r="E1144" s="9" t="s">
        <v>31</v>
      </c>
      <c r="F1144">
        <f t="shared" si="88"/>
        <v>0</v>
      </c>
      <c r="G1144">
        <f t="shared" si="89"/>
        <v>-215</v>
      </c>
      <c r="AJ1144" s="40">
        <v>46257</v>
      </c>
      <c r="AK1144" s="9" t="s">
        <v>204</v>
      </c>
      <c r="AL1144" s="9" t="s">
        <v>31</v>
      </c>
      <c r="AM1144" s="9"/>
      <c r="AN1144" s="9">
        <v>118</v>
      </c>
      <c r="AO1144" s="9">
        <v>170</v>
      </c>
      <c r="AP1144" s="9">
        <v>162</v>
      </c>
      <c r="AQ1144" s="9">
        <v>146</v>
      </c>
      <c r="AR1144" s="9">
        <v>149</v>
      </c>
      <c r="AS1144" s="9">
        <v>0</v>
      </c>
      <c r="AT1144" s="9">
        <v>66</v>
      </c>
      <c r="AU1144" s="9">
        <v>62</v>
      </c>
      <c r="AV1144" s="9">
        <v>67</v>
      </c>
      <c r="AW1144" s="9">
        <v>0</v>
      </c>
      <c r="AX1144" s="9">
        <v>0</v>
      </c>
      <c r="AY1144" s="9">
        <v>14</v>
      </c>
      <c r="AZ1144" s="9">
        <v>25</v>
      </c>
    </row>
    <row r="1145" spans="2:52">
      <c r="B1145" t="str">
        <f t="shared" si="85"/>
        <v>Aug</v>
      </c>
      <c r="C1145" s="43">
        <f t="shared" si="86"/>
        <v>46264</v>
      </c>
      <c r="D1145" s="44">
        <f t="shared" si="87"/>
        <v>46257</v>
      </c>
      <c r="E1145" s="9" t="s">
        <v>39</v>
      </c>
      <c r="F1145">
        <f t="shared" si="88"/>
        <v>0</v>
      </c>
      <c r="G1145">
        <f t="shared" si="89"/>
        <v>-19</v>
      </c>
      <c r="AJ1145" s="40">
        <v>46257</v>
      </c>
      <c r="AK1145" s="9" t="s">
        <v>205</v>
      </c>
      <c r="AL1145" s="9" t="s">
        <v>39</v>
      </c>
      <c r="AM1145" s="9"/>
      <c r="AN1145" s="9">
        <v>86</v>
      </c>
      <c r="AO1145" s="9">
        <v>79</v>
      </c>
      <c r="AP1145" s="9">
        <v>112</v>
      </c>
      <c r="AQ1145" s="9">
        <v>94</v>
      </c>
      <c r="AR1145" s="9">
        <v>109</v>
      </c>
      <c r="AS1145" s="9">
        <v>100</v>
      </c>
      <c r="AT1145" s="9">
        <v>93</v>
      </c>
      <c r="AU1145" s="9">
        <v>79</v>
      </c>
      <c r="AV1145" s="9">
        <v>139</v>
      </c>
      <c r="AW1145" s="9">
        <v>141</v>
      </c>
      <c r="AX1145" s="9">
        <v>127</v>
      </c>
      <c r="AY1145" s="9">
        <v>120</v>
      </c>
      <c r="AZ1145" s="9">
        <v>133</v>
      </c>
    </row>
    <row r="1146" spans="2:52">
      <c r="B1146" t="str">
        <f t="shared" si="85"/>
        <v>Aug</v>
      </c>
      <c r="C1146" s="43">
        <f t="shared" si="86"/>
        <v>46264</v>
      </c>
      <c r="D1146" s="44">
        <f t="shared" si="87"/>
        <v>46257</v>
      </c>
      <c r="E1146" s="9" t="s">
        <v>40</v>
      </c>
      <c r="F1146">
        <f t="shared" si="88"/>
        <v>0</v>
      </c>
      <c r="G1146">
        <f t="shared" si="89"/>
        <v>-106</v>
      </c>
      <c r="AJ1146" s="40">
        <v>46257</v>
      </c>
      <c r="AK1146" s="9" t="s">
        <v>205</v>
      </c>
      <c r="AL1146" s="9" t="s">
        <v>40</v>
      </c>
      <c r="AM1146" s="9"/>
      <c r="AN1146" s="9">
        <v>75</v>
      </c>
      <c r="AO1146" s="9">
        <v>71</v>
      </c>
      <c r="AP1146" s="9">
        <v>55</v>
      </c>
      <c r="AQ1146" s="9">
        <v>0</v>
      </c>
      <c r="AR1146" s="9">
        <v>27</v>
      </c>
      <c r="AS1146" s="9">
        <v>22</v>
      </c>
      <c r="AT1146" s="9">
        <v>0</v>
      </c>
      <c r="AU1146" s="9">
        <v>0</v>
      </c>
      <c r="AV1146" s="9">
        <v>5</v>
      </c>
      <c r="AW1146" s="9">
        <v>0</v>
      </c>
      <c r="AX1146" s="9">
        <v>12</v>
      </c>
      <c r="AY1146" s="9">
        <v>9</v>
      </c>
      <c r="AZ1146" s="9">
        <v>21</v>
      </c>
    </row>
    <row r="1147" spans="2:52">
      <c r="B1147" t="str">
        <f t="shared" si="85"/>
        <v>Aug</v>
      </c>
      <c r="C1147" s="43">
        <f t="shared" si="86"/>
        <v>46264</v>
      </c>
      <c r="D1147" s="44">
        <f t="shared" si="87"/>
        <v>46257</v>
      </c>
      <c r="E1147" s="9" t="s">
        <v>41</v>
      </c>
      <c r="F1147">
        <f t="shared" si="88"/>
        <v>0</v>
      </c>
      <c r="G1147">
        <f t="shared" si="89"/>
        <v>50</v>
      </c>
      <c r="AJ1147" s="40">
        <v>46257</v>
      </c>
      <c r="AK1147" s="9" t="s">
        <v>41</v>
      </c>
      <c r="AL1147" s="9" t="s">
        <v>41</v>
      </c>
      <c r="AM1147" s="9"/>
      <c r="AN1147" s="9">
        <v>0</v>
      </c>
      <c r="AO1147" s="9">
        <v>6</v>
      </c>
      <c r="AP1147" s="9">
        <v>8</v>
      </c>
      <c r="AQ1147" s="9">
        <v>5</v>
      </c>
      <c r="AR1147" s="9">
        <v>7</v>
      </c>
      <c r="AS1147" s="9">
        <v>4</v>
      </c>
      <c r="AT1147" s="9">
        <v>9</v>
      </c>
      <c r="AU1147" s="9">
        <v>13</v>
      </c>
      <c r="AV1147" s="9">
        <v>17</v>
      </c>
      <c r="AW1147" s="9">
        <v>0</v>
      </c>
      <c r="AX1147" s="9">
        <v>5</v>
      </c>
      <c r="AY1147" s="9">
        <v>9</v>
      </c>
      <c r="AZ1147" s="9">
        <v>54</v>
      </c>
    </row>
    <row r="1148" spans="2:52">
      <c r="B1148" t="str">
        <f t="shared" si="85"/>
        <v>Aug</v>
      </c>
      <c r="C1148" s="43">
        <f t="shared" si="86"/>
        <v>46264</v>
      </c>
      <c r="D1148" s="44">
        <f t="shared" si="87"/>
        <v>46257</v>
      </c>
      <c r="E1148" s="9" t="s">
        <v>45</v>
      </c>
      <c r="F1148">
        <f t="shared" si="88"/>
        <v>0</v>
      </c>
      <c r="G1148">
        <f t="shared" si="89"/>
        <v>169</v>
      </c>
      <c r="AJ1148" s="40">
        <v>46257</v>
      </c>
      <c r="AK1148" s="9" t="s">
        <v>202</v>
      </c>
      <c r="AL1148" s="9" t="s">
        <v>45</v>
      </c>
      <c r="AM1148" s="9"/>
      <c r="AN1148" s="9">
        <v>64</v>
      </c>
      <c r="AO1148" s="9">
        <v>69</v>
      </c>
      <c r="AP1148" s="9">
        <v>0</v>
      </c>
      <c r="AQ1148" s="9">
        <v>0</v>
      </c>
      <c r="AR1148" s="9">
        <v>0</v>
      </c>
      <c r="AS1148" s="9">
        <v>0</v>
      </c>
      <c r="AT1148" s="9">
        <v>27</v>
      </c>
      <c r="AU1148" s="9">
        <v>0</v>
      </c>
      <c r="AV1148" s="9">
        <v>26</v>
      </c>
      <c r="AW1148" s="9">
        <v>0</v>
      </c>
      <c r="AX1148" s="9">
        <v>16</v>
      </c>
      <c r="AY1148" s="9">
        <v>176</v>
      </c>
      <c r="AZ1148" s="9">
        <v>170</v>
      </c>
    </row>
    <row r="1149" spans="2:52">
      <c r="B1149" t="str">
        <f t="shared" si="85"/>
        <v>Aug</v>
      </c>
      <c r="C1149" s="43">
        <f t="shared" si="86"/>
        <v>46264</v>
      </c>
      <c r="D1149" s="44">
        <f t="shared" si="87"/>
        <v>46257</v>
      </c>
      <c r="E1149" s="9" t="s">
        <v>46</v>
      </c>
      <c r="F1149">
        <f t="shared" si="88"/>
        <v>0</v>
      </c>
      <c r="G1149">
        <f t="shared" si="89"/>
        <v>-146</v>
      </c>
      <c r="AJ1149" s="40">
        <v>46257</v>
      </c>
      <c r="AK1149" s="9" t="s">
        <v>202</v>
      </c>
      <c r="AL1149" s="9" t="s">
        <v>46</v>
      </c>
      <c r="AM1149" s="9"/>
      <c r="AN1149" s="9">
        <v>10</v>
      </c>
      <c r="AO1149" s="9">
        <v>15</v>
      </c>
      <c r="AP1149" s="9">
        <v>20</v>
      </c>
      <c r="AQ1149" s="9">
        <v>23</v>
      </c>
      <c r="AR1149" s="9">
        <v>28</v>
      </c>
      <c r="AS1149" s="9">
        <v>25</v>
      </c>
      <c r="AT1149" s="9">
        <v>21</v>
      </c>
      <c r="AU1149" s="9">
        <v>0</v>
      </c>
      <c r="AV1149" s="9">
        <v>4</v>
      </c>
      <c r="AW1149" s="9">
        <v>2</v>
      </c>
      <c r="AX1149" s="9">
        <v>0</v>
      </c>
      <c r="AY1149" s="9">
        <v>10</v>
      </c>
      <c r="AZ1149" s="9">
        <v>7</v>
      </c>
    </row>
    <row r="1150" spans="2:52">
      <c r="B1150" t="str">
        <f t="shared" si="85"/>
        <v>Aug</v>
      </c>
      <c r="C1150" s="43">
        <f t="shared" si="86"/>
        <v>46264</v>
      </c>
      <c r="D1150" s="44">
        <f t="shared" si="87"/>
        <v>46257</v>
      </c>
      <c r="E1150" s="9" t="s">
        <v>47</v>
      </c>
      <c r="F1150">
        <f t="shared" si="88"/>
        <v>0</v>
      </c>
      <c r="G1150">
        <f t="shared" si="89"/>
        <v>-87</v>
      </c>
      <c r="AJ1150" s="40">
        <v>46257</v>
      </c>
      <c r="AK1150" s="9" t="s">
        <v>202</v>
      </c>
      <c r="AL1150" s="9" t="s">
        <v>47</v>
      </c>
      <c r="AM1150" s="9"/>
      <c r="AN1150" s="9">
        <v>7</v>
      </c>
      <c r="AO1150" s="9">
        <v>3</v>
      </c>
      <c r="AP1150" s="9">
        <v>0</v>
      </c>
      <c r="AQ1150" s="9">
        <v>0</v>
      </c>
      <c r="AR1150" s="9">
        <v>3</v>
      </c>
      <c r="AS1150" s="9">
        <v>0</v>
      </c>
      <c r="AT1150" s="9">
        <v>5</v>
      </c>
      <c r="AU1150" s="9">
        <v>3</v>
      </c>
      <c r="AV1150" s="9">
        <v>4</v>
      </c>
      <c r="AW1150" s="9">
        <v>4</v>
      </c>
      <c r="AX1150" s="9">
        <v>8</v>
      </c>
      <c r="AY1150" s="9">
        <v>10</v>
      </c>
      <c r="AZ1150" s="9">
        <v>9</v>
      </c>
    </row>
    <row r="1151" spans="2:52">
      <c r="B1151" t="str">
        <f t="shared" si="85"/>
        <v>Aug</v>
      </c>
      <c r="C1151" s="43">
        <f t="shared" si="86"/>
        <v>46264</v>
      </c>
      <c r="D1151" s="44">
        <f t="shared" si="87"/>
        <v>46257</v>
      </c>
      <c r="E1151" s="9" t="s">
        <v>206</v>
      </c>
      <c r="F1151">
        <f t="shared" si="88"/>
        <v>0</v>
      </c>
      <c r="G1151">
        <f t="shared" si="89"/>
        <v>37</v>
      </c>
      <c r="AJ1151" s="40">
        <v>46257</v>
      </c>
      <c r="AK1151" s="9" t="s">
        <v>43</v>
      </c>
      <c r="AL1151" s="9" t="s">
        <v>206</v>
      </c>
      <c r="AM1151" s="9"/>
      <c r="AN1151" s="9">
        <v>63</v>
      </c>
      <c r="AO1151" s="9">
        <v>0</v>
      </c>
      <c r="AP1151" s="9">
        <v>26</v>
      </c>
      <c r="AQ1151" s="9">
        <v>18</v>
      </c>
      <c r="AR1151" s="9">
        <v>26</v>
      </c>
      <c r="AS1151" s="9">
        <v>35</v>
      </c>
      <c r="AT1151" s="9">
        <v>0</v>
      </c>
      <c r="AU1151" s="9">
        <v>0</v>
      </c>
      <c r="AV1151" s="9">
        <v>27</v>
      </c>
      <c r="AW1151" s="9">
        <v>20</v>
      </c>
      <c r="AX1151" s="9">
        <v>19</v>
      </c>
      <c r="AY1151" s="9">
        <v>37</v>
      </c>
      <c r="AZ1151" s="9">
        <v>37</v>
      </c>
    </row>
    <row r="1152" spans="2:52">
      <c r="B1152" t="str">
        <f t="shared" si="85"/>
        <v>Aug</v>
      </c>
      <c r="C1152" s="43">
        <f t="shared" si="86"/>
        <v>46264</v>
      </c>
      <c r="D1152" s="44">
        <f t="shared" si="87"/>
        <v>46257</v>
      </c>
      <c r="E1152" s="9" t="s">
        <v>207</v>
      </c>
      <c r="F1152">
        <f t="shared" si="88"/>
        <v>0</v>
      </c>
      <c r="G1152">
        <f t="shared" si="89"/>
        <v>-4</v>
      </c>
      <c r="AJ1152" s="40">
        <v>46257</v>
      </c>
      <c r="AK1152" s="9" t="s">
        <v>203</v>
      </c>
      <c r="AL1152" s="9" t="s">
        <v>207</v>
      </c>
      <c r="AM1152" s="9"/>
      <c r="AN1152" s="9">
        <v>47</v>
      </c>
      <c r="AO1152" s="9">
        <v>78</v>
      </c>
      <c r="AP1152" s="9">
        <v>70</v>
      </c>
      <c r="AQ1152" s="9">
        <v>0</v>
      </c>
      <c r="AR1152" s="9">
        <v>7</v>
      </c>
      <c r="AS1152" s="9">
        <v>13</v>
      </c>
      <c r="AT1152" s="9">
        <v>22</v>
      </c>
      <c r="AU1152" s="9">
        <v>0</v>
      </c>
      <c r="AV1152" s="9">
        <v>24</v>
      </c>
      <c r="AW1152" s="9">
        <v>30</v>
      </c>
      <c r="AX1152" s="9">
        <v>134</v>
      </c>
      <c r="AY1152" s="9">
        <v>110</v>
      </c>
      <c r="AZ1152" s="9">
        <v>70</v>
      </c>
    </row>
    <row r="1153" spans="2:52">
      <c r="B1153" t="str">
        <f t="shared" si="85"/>
        <v>Aug</v>
      </c>
      <c r="C1153" s="43">
        <f t="shared" si="86"/>
        <v>46264</v>
      </c>
      <c r="D1153" s="44">
        <f t="shared" si="87"/>
        <v>46257</v>
      </c>
      <c r="E1153" s="9" t="s">
        <v>42</v>
      </c>
      <c r="F1153">
        <f t="shared" si="88"/>
        <v>0</v>
      </c>
      <c r="G1153">
        <f t="shared" si="89"/>
        <v>-71</v>
      </c>
      <c r="AJ1153" s="40">
        <v>46257</v>
      </c>
      <c r="AK1153" s="9" t="s">
        <v>42</v>
      </c>
      <c r="AL1153" s="9" t="s">
        <v>42</v>
      </c>
      <c r="AM1153" s="9"/>
      <c r="AN1153" s="9">
        <v>42</v>
      </c>
      <c r="AO1153" s="9">
        <v>46</v>
      </c>
      <c r="AP1153" s="9">
        <v>47</v>
      </c>
      <c r="AQ1153" s="9">
        <v>104</v>
      </c>
      <c r="AR1153" s="9">
        <v>107</v>
      </c>
      <c r="AS1153" s="9">
        <v>103</v>
      </c>
      <c r="AT1153" s="9">
        <v>104</v>
      </c>
      <c r="AU1153" s="9">
        <v>105</v>
      </c>
      <c r="AV1153" s="9">
        <v>0</v>
      </c>
      <c r="AW1153" s="9">
        <v>0</v>
      </c>
      <c r="AX1153" s="9">
        <v>16</v>
      </c>
      <c r="AY1153" s="9">
        <v>23</v>
      </c>
      <c r="AZ1153" s="9">
        <v>25</v>
      </c>
    </row>
    <row r="1154" spans="2:52">
      <c r="B1154" t="str">
        <f t="shared" si="85"/>
        <v>Aug</v>
      </c>
      <c r="C1154" s="43">
        <f t="shared" si="86"/>
        <v>46264</v>
      </c>
      <c r="D1154" s="44">
        <f t="shared" si="87"/>
        <v>46258</v>
      </c>
      <c r="E1154" s="9" t="s">
        <v>31</v>
      </c>
      <c r="F1154">
        <f t="shared" si="88"/>
        <v>0</v>
      </c>
      <c r="G1154">
        <f t="shared" si="89"/>
        <v>32</v>
      </c>
      <c r="AJ1154" s="40">
        <v>46258</v>
      </c>
      <c r="AK1154" s="9" t="s">
        <v>204</v>
      </c>
      <c r="AL1154" s="9" t="s">
        <v>31</v>
      </c>
      <c r="AM1154" s="9"/>
      <c r="AN1154" s="9">
        <v>60</v>
      </c>
      <c r="AO1154" s="9">
        <v>56</v>
      </c>
      <c r="AP1154" s="9">
        <v>53</v>
      </c>
      <c r="AQ1154" s="9">
        <v>52</v>
      </c>
      <c r="AR1154" s="9">
        <v>27</v>
      </c>
      <c r="AS1154" s="9">
        <v>45</v>
      </c>
      <c r="AT1154" s="9">
        <v>34</v>
      </c>
      <c r="AU1154" s="9">
        <v>28</v>
      </c>
      <c r="AV1154" s="9">
        <v>36</v>
      </c>
      <c r="AW1154" s="9">
        <v>55</v>
      </c>
      <c r="AX1154" s="9">
        <v>76</v>
      </c>
      <c r="AY1154" s="9">
        <v>65</v>
      </c>
      <c r="AZ1154" s="9">
        <v>57</v>
      </c>
    </row>
    <row r="1155" spans="2:52">
      <c r="B1155" t="str">
        <f t="shared" si="85"/>
        <v>Aug</v>
      </c>
      <c r="C1155" s="43">
        <f t="shared" si="86"/>
        <v>46264</v>
      </c>
      <c r="D1155" s="44">
        <f t="shared" si="87"/>
        <v>46258</v>
      </c>
      <c r="E1155" s="9" t="s">
        <v>39</v>
      </c>
      <c r="F1155">
        <f t="shared" si="88"/>
        <v>0</v>
      </c>
      <c r="G1155">
        <f t="shared" si="89"/>
        <v>-7</v>
      </c>
      <c r="AJ1155" s="40">
        <v>46258</v>
      </c>
      <c r="AK1155" s="9" t="s">
        <v>205</v>
      </c>
      <c r="AL1155" s="9" t="s">
        <v>39</v>
      </c>
      <c r="AM1155" s="9"/>
      <c r="AN1155" s="9">
        <v>87</v>
      </c>
      <c r="AO1155" s="9">
        <v>95</v>
      </c>
      <c r="AP1155" s="9">
        <v>91</v>
      </c>
      <c r="AQ1155" s="9">
        <v>91</v>
      </c>
      <c r="AR1155" s="9">
        <v>0</v>
      </c>
      <c r="AS1155" s="9">
        <v>1</v>
      </c>
      <c r="AT1155" s="9">
        <v>0</v>
      </c>
      <c r="AU1155" s="9">
        <v>38</v>
      </c>
      <c r="AV1155" s="9">
        <v>42</v>
      </c>
      <c r="AW1155" s="9">
        <v>50</v>
      </c>
      <c r="AX1155" s="9">
        <v>56</v>
      </c>
      <c r="AY1155" s="9">
        <v>124</v>
      </c>
      <c r="AZ1155" s="9">
        <v>126</v>
      </c>
    </row>
    <row r="1156" spans="2:52">
      <c r="B1156" t="str">
        <f t="shared" si="85"/>
        <v>Aug</v>
      </c>
      <c r="C1156" s="43">
        <f t="shared" si="86"/>
        <v>46264</v>
      </c>
      <c r="D1156" s="44">
        <f t="shared" si="87"/>
        <v>46258</v>
      </c>
      <c r="E1156" s="9" t="s">
        <v>40</v>
      </c>
      <c r="F1156">
        <f t="shared" si="88"/>
        <v>0</v>
      </c>
      <c r="G1156">
        <f t="shared" si="89"/>
        <v>-16</v>
      </c>
      <c r="AJ1156" s="40">
        <v>46258</v>
      </c>
      <c r="AK1156" s="9" t="s">
        <v>205</v>
      </c>
      <c r="AL1156" s="9" t="s">
        <v>40</v>
      </c>
      <c r="AM1156" s="9"/>
      <c r="AN1156" s="9">
        <v>73</v>
      </c>
      <c r="AO1156" s="9">
        <v>63</v>
      </c>
      <c r="AP1156" s="9">
        <v>58</v>
      </c>
      <c r="AQ1156" s="9">
        <v>62</v>
      </c>
      <c r="AR1156" s="9">
        <v>66</v>
      </c>
      <c r="AS1156" s="9">
        <v>61</v>
      </c>
      <c r="AT1156" s="9">
        <v>56</v>
      </c>
      <c r="AU1156" s="9">
        <v>54</v>
      </c>
      <c r="AV1156" s="9">
        <v>85</v>
      </c>
      <c r="AW1156" s="9">
        <v>80</v>
      </c>
      <c r="AX1156" s="9">
        <v>74</v>
      </c>
      <c r="AY1156" s="9">
        <v>0</v>
      </c>
      <c r="AZ1156" s="9">
        <v>5</v>
      </c>
    </row>
    <row r="1157" spans="2:52">
      <c r="B1157" t="str">
        <f t="shared" ref="B1157:B1220" si="90">TEXT(C1157,"MMM")</f>
        <v>Aug</v>
      </c>
      <c r="C1157" s="43">
        <f t="shared" ref="C1157:C1220" si="91">AJ1157+(8-WEEKDAY(AJ1157))</f>
        <v>46264</v>
      </c>
      <c r="D1157" s="44">
        <f t="shared" ref="D1157:D1220" si="92">AJ1157</f>
        <v>46258</v>
      </c>
      <c r="E1157" s="9" t="s">
        <v>41</v>
      </c>
      <c r="F1157">
        <f t="shared" ref="F1157:F1220" si="93">IF(SUM(V1157:AI1157)&lt;=0,0,SUM(V1157:AI1157))</f>
        <v>0</v>
      </c>
      <c r="G1157">
        <f t="shared" si="89"/>
        <v>-41</v>
      </c>
      <c r="AJ1157" s="40">
        <v>46258</v>
      </c>
      <c r="AK1157" s="9" t="s">
        <v>41</v>
      </c>
      <c r="AL1157" s="9" t="s">
        <v>41</v>
      </c>
      <c r="AM1157" s="9"/>
      <c r="AN1157" s="9">
        <v>30</v>
      </c>
      <c r="AO1157" s="9">
        <v>32</v>
      </c>
      <c r="AP1157" s="9">
        <v>34</v>
      </c>
      <c r="AQ1157" s="9">
        <v>31</v>
      </c>
      <c r="AR1157" s="9">
        <v>28</v>
      </c>
      <c r="AS1157" s="9">
        <v>127</v>
      </c>
      <c r="AT1157" s="9">
        <v>130</v>
      </c>
      <c r="AU1157" s="9">
        <v>131</v>
      </c>
      <c r="AV1157" s="9">
        <v>133</v>
      </c>
      <c r="AW1157" s="9">
        <v>134</v>
      </c>
      <c r="AX1157" s="9">
        <v>0</v>
      </c>
      <c r="AY1157" s="9">
        <v>10</v>
      </c>
      <c r="AZ1157" s="9">
        <v>13</v>
      </c>
    </row>
    <row r="1158" spans="2:52">
      <c r="B1158" t="str">
        <f t="shared" si="90"/>
        <v>Aug</v>
      </c>
      <c r="C1158" s="43">
        <f t="shared" si="91"/>
        <v>46264</v>
      </c>
      <c r="D1158" s="44">
        <f t="shared" si="92"/>
        <v>46258</v>
      </c>
      <c r="E1158" s="9" t="s">
        <v>45</v>
      </c>
      <c r="F1158">
        <f t="shared" si="93"/>
        <v>0</v>
      </c>
      <c r="G1158">
        <f t="shared" si="89"/>
        <v>-57</v>
      </c>
      <c r="AJ1158" s="40">
        <v>46258</v>
      </c>
      <c r="AK1158" s="9" t="s">
        <v>202</v>
      </c>
      <c r="AL1158" s="9" t="s">
        <v>45</v>
      </c>
      <c r="AM1158" s="9"/>
      <c r="AN1158" s="9">
        <v>57</v>
      </c>
      <c r="AO1158" s="9">
        <v>53</v>
      </c>
      <c r="AP1158" s="9">
        <v>47</v>
      </c>
      <c r="AQ1158" s="9">
        <v>47</v>
      </c>
      <c r="AR1158" s="9">
        <v>77</v>
      </c>
      <c r="AS1158" s="9">
        <v>81</v>
      </c>
      <c r="AT1158" s="9">
        <v>131</v>
      </c>
      <c r="AU1158" s="9">
        <v>128</v>
      </c>
      <c r="AV1158" s="9">
        <v>129</v>
      </c>
      <c r="AW1158" s="9">
        <v>126</v>
      </c>
      <c r="AX1158" s="9">
        <v>127</v>
      </c>
      <c r="AY1158" s="9">
        <v>121</v>
      </c>
      <c r="AZ1158" s="9">
        <v>113</v>
      </c>
    </row>
    <row r="1159" spans="2:52">
      <c r="B1159" t="str">
        <f t="shared" si="90"/>
        <v>Aug</v>
      </c>
      <c r="C1159" s="43">
        <f t="shared" si="91"/>
        <v>46264</v>
      </c>
      <c r="D1159" s="44">
        <f t="shared" si="92"/>
        <v>46258</v>
      </c>
      <c r="E1159" s="9" t="s">
        <v>46</v>
      </c>
      <c r="F1159">
        <f t="shared" si="93"/>
        <v>0</v>
      </c>
      <c r="G1159">
        <f t="shared" si="89"/>
        <v>12</v>
      </c>
      <c r="AJ1159" s="40">
        <v>46258</v>
      </c>
      <c r="AK1159" s="9" t="s">
        <v>202</v>
      </c>
      <c r="AL1159" s="9" t="s">
        <v>46</v>
      </c>
      <c r="AM1159" s="9"/>
      <c r="AN1159" s="9">
        <v>31</v>
      </c>
      <c r="AO1159" s="9">
        <v>30</v>
      </c>
      <c r="AP1159" s="9">
        <v>30</v>
      </c>
      <c r="AQ1159" s="9">
        <v>27</v>
      </c>
      <c r="AR1159" s="9">
        <v>32</v>
      </c>
      <c r="AS1159" s="9">
        <v>0</v>
      </c>
      <c r="AT1159" s="9">
        <v>0</v>
      </c>
      <c r="AU1159" s="9">
        <v>4</v>
      </c>
      <c r="AV1159" s="9">
        <v>2</v>
      </c>
      <c r="AW1159" s="9">
        <v>5</v>
      </c>
      <c r="AX1159" s="9">
        <v>8</v>
      </c>
      <c r="AY1159" s="9">
        <v>0</v>
      </c>
      <c r="AZ1159" s="9">
        <v>19</v>
      </c>
    </row>
    <row r="1160" spans="2:52">
      <c r="B1160" t="str">
        <f t="shared" si="90"/>
        <v>Aug</v>
      </c>
      <c r="C1160" s="43">
        <f t="shared" si="91"/>
        <v>46264</v>
      </c>
      <c r="D1160" s="44">
        <f t="shared" si="92"/>
        <v>46258</v>
      </c>
      <c r="E1160" s="9" t="s">
        <v>47</v>
      </c>
      <c r="F1160">
        <f t="shared" si="93"/>
        <v>0</v>
      </c>
      <c r="G1160">
        <f t="shared" si="89"/>
        <v>-4</v>
      </c>
      <c r="AJ1160" s="40">
        <v>46258</v>
      </c>
      <c r="AK1160" s="9" t="s">
        <v>202</v>
      </c>
      <c r="AL1160" s="9" t="s">
        <v>47</v>
      </c>
      <c r="AM1160" s="9"/>
      <c r="AN1160" s="9">
        <v>23</v>
      </c>
      <c r="AO1160" s="9">
        <v>0</v>
      </c>
      <c r="AP1160" s="9">
        <v>0</v>
      </c>
      <c r="AQ1160" s="9">
        <v>0</v>
      </c>
      <c r="AR1160" s="9">
        <v>3</v>
      </c>
      <c r="AS1160" s="9">
        <v>0</v>
      </c>
      <c r="AT1160" s="9">
        <v>0</v>
      </c>
      <c r="AU1160" s="9">
        <v>0</v>
      </c>
      <c r="AV1160" s="9">
        <v>115</v>
      </c>
      <c r="AW1160" s="9">
        <v>117</v>
      </c>
      <c r="AX1160" s="9">
        <v>116</v>
      </c>
      <c r="AY1160" s="9">
        <v>0</v>
      </c>
      <c r="AZ1160" s="9">
        <v>5</v>
      </c>
    </row>
    <row r="1161" spans="2:52">
      <c r="B1161" t="str">
        <f t="shared" si="90"/>
        <v>Aug</v>
      </c>
      <c r="C1161" s="43">
        <f t="shared" si="91"/>
        <v>46264</v>
      </c>
      <c r="D1161" s="44">
        <f t="shared" si="92"/>
        <v>46258</v>
      </c>
      <c r="E1161" s="9" t="s">
        <v>206</v>
      </c>
      <c r="F1161">
        <f t="shared" si="93"/>
        <v>0</v>
      </c>
      <c r="G1161">
        <f t="shared" si="89"/>
        <v>-37</v>
      </c>
      <c r="AJ1161" s="40">
        <v>46258</v>
      </c>
      <c r="AK1161" s="9" t="s">
        <v>43</v>
      </c>
      <c r="AL1161" s="9" t="s">
        <v>206</v>
      </c>
      <c r="AM1161" s="9"/>
      <c r="AN1161" s="9">
        <v>55</v>
      </c>
      <c r="AO1161" s="9">
        <v>52</v>
      </c>
      <c r="AP1161" s="9">
        <v>57</v>
      </c>
      <c r="AQ1161" s="9">
        <v>62</v>
      </c>
      <c r="AR1161" s="9">
        <v>65</v>
      </c>
      <c r="AS1161" s="9">
        <v>0</v>
      </c>
      <c r="AT1161" s="9">
        <v>9</v>
      </c>
      <c r="AU1161" s="9">
        <v>0</v>
      </c>
      <c r="AV1161" s="9">
        <v>17</v>
      </c>
      <c r="AW1161" s="9">
        <v>0</v>
      </c>
      <c r="AX1161" s="9">
        <v>31</v>
      </c>
      <c r="AY1161" s="9">
        <v>24</v>
      </c>
      <c r="AZ1161" s="9">
        <v>0</v>
      </c>
    </row>
    <row r="1162" spans="2:52">
      <c r="B1162" t="str">
        <f t="shared" si="90"/>
        <v>Aug</v>
      </c>
      <c r="C1162" s="43">
        <f t="shared" si="91"/>
        <v>46264</v>
      </c>
      <c r="D1162" s="44">
        <f t="shared" si="92"/>
        <v>46258</v>
      </c>
      <c r="E1162" s="9" t="s">
        <v>207</v>
      </c>
      <c r="F1162">
        <f t="shared" si="93"/>
        <v>0</v>
      </c>
      <c r="G1162">
        <f t="shared" si="89"/>
        <v>-51</v>
      </c>
      <c r="AJ1162" s="40">
        <v>46258</v>
      </c>
      <c r="AK1162" s="9" t="s">
        <v>203</v>
      </c>
      <c r="AL1162" s="9" t="s">
        <v>207</v>
      </c>
      <c r="AM1162" s="9"/>
      <c r="AN1162" s="9">
        <v>62</v>
      </c>
      <c r="AO1162" s="9">
        <v>0</v>
      </c>
      <c r="AP1162" s="9">
        <v>0</v>
      </c>
      <c r="AQ1162" s="9">
        <v>7</v>
      </c>
      <c r="AR1162" s="9">
        <v>11</v>
      </c>
      <c r="AS1162" s="9">
        <v>16</v>
      </c>
      <c r="AT1162" s="9">
        <v>33</v>
      </c>
      <c r="AU1162" s="9">
        <v>42</v>
      </c>
      <c r="AV1162" s="9">
        <v>0</v>
      </c>
      <c r="AW1162" s="9">
        <v>12</v>
      </c>
      <c r="AX1162" s="9">
        <v>18</v>
      </c>
      <c r="AY1162" s="9">
        <v>13</v>
      </c>
      <c r="AZ1162" s="9">
        <v>19</v>
      </c>
    </row>
    <row r="1163" spans="2:52">
      <c r="B1163" t="str">
        <f t="shared" si="90"/>
        <v>Aug</v>
      </c>
      <c r="C1163" s="43">
        <f t="shared" si="91"/>
        <v>46264</v>
      </c>
      <c r="D1163" s="44">
        <f t="shared" si="92"/>
        <v>46258</v>
      </c>
      <c r="E1163" s="9" t="s">
        <v>42</v>
      </c>
      <c r="F1163">
        <f t="shared" si="93"/>
        <v>0</v>
      </c>
      <c r="G1163">
        <f t="shared" si="89"/>
        <v>-22</v>
      </c>
      <c r="AJ1163" s="40">
        <v>46258</v>
      </c>
      <c r="AK1163" s="9" t="s">
        <v>42</v>
      </c>
      <c r="AL1163" s="9" t="s">
        <v>42</v>
      </c>
      <c r="AM1163" s="9"/>
      <c r="AN1163" s="9">
        <v>55</v>
      </c>
      <c r="AO1163" s="9">
        <v>28</v>
      </c>
      <c r="AP1163" s="9">
        <v>48</v>
      </c>
      <c r="AQ1163" s="9">
        <v>45</v>
      </c>
      <c r="AR1163" s="9">
        <v>44</v>
      </c>
      <c r="AS1163" s="9">
        <v>46</v>
      </c>
      <c r="AT1163" s="9">
        <v>0</v>
      </c>
      <c r="AU1163" s="9">
        <v>6</v>
      </c>
      <c r="AV1163" s="9">
        <v>5</v>
      </c>
      <c r="AW1163" s="9">
        <v>1</v>
      </c>
      <c r="AX1163" s="9">
        <v>35</v>
      </c>
      <c r="AY1163" s="9">
        <v>0</v>
      </c>
      <c r="AZ1163" s="9">
        <v>3</v>
      </c>
    </row>
    <row r="1164" spans="2:52">
      <c r="B1164" t="str">
        <f t="shared" si="90"/>
        <v>Aug</v>
      </c>
      <c r="C1164" s="43">
        <f t="shared" si="91"/>
        <v>46264</v>
      </c>
      <c r="D1164" s="44">
        <f t="shared" si="92"/>
        <v>46259</v>
      </c>
      <c r="E1164" s="9" t="s">
        <v>31</v>
      </c>
      <c r="F1164">
        <f t="shared" si="93"/>
        <v>0</v>
      </c>
      <c r="G1164">
        <f t="shared" si="89"/>
        <v>166</v>
      </c>
      <c r="AJ1164" s="40">
        <v>46259</v>
      </c>
      <c r="AK1164" s="9" t="s">
        <v>204</v>
      </c>
      <c r="AL1164" s="9" t="s">
        <v>31</v>
      </c>
      <c r="AM1164" s="9"/>
      <c r="AN1164" s="9">
        <v>106</v>
      </c>
      <c r="AO1164" s="9">
        <v>115</v>
      </c>
      <c r="AP1164" s="9">
        <v>67</v>
      </c>
      <c r="AQ1164" s="9">
        <v>71</v>
      </c>
      <c r="AR1164" s="9">
        <v>65</v>
      </c>
      <c r="AS1164" s="9">
        <v>63</v>
      </c>
      <c r="AT1164" s="9">
        <v>53</v>
      </c>
      <c r="AU1164" s="9">
        <v>47</v>
      </c>
      <c r="AV1164" s="9">
        <v>211</v>
      </c>
      <c r="AW1164" s="9">
        <v>217</v>
      </c>
      <c r="AX1164" s="9">
        <v>230</v>
      </c>
      <c r="AY1164" s="9">
        <v>239</v>
      </c>
      <c r="AZ1164" s="9">
        <v>223</v>
      </c>
    </row>
    <row r="1165" spans="2:52">
      <c r="B1165" t="str">
        <f t="shared" si="90"/>
        <v>Aug</v>
      </c>
      <c r="C1165" s="43">
        <f t="shared" si="91"/>
        <v>46264</v>
      </c>
      <c r="D1165" s="44">
        <f t="shared" si="92"/>
        <v>46259</v>
      </c>
      <c r="E1165" s="9" t="s">
        <v>39</v>
      </c>
      <c r="F1165">
        <f t="shared" si="93"/>
        <v>0</v>
      </c>
      <c r="G1165">
        <f t="shared" si="89"/>
        <v>-12</v>
      </c>
      <c r="AJ1165" s="40">
        <v>46259</v>
      </c>
      <c r="AK1165" s="9" t="s">
        <v>205</v>
      </c>
      <c r="AL1165" s="9" t="s">
        <v>39</v>
      </c>
      <c r="AM1165" s="9"/>
      <c r="AN1165" s="9">
        <v>0</v>
      </c>
      <c r="AO1165" s="9">
        <v>0</v>
      </c>
      <c r="AP1165" s="9">
        <v>11</v>
      </c>
      <c r="AQ1165" s="9">
        <v>15</v>
      </c>
      <c r="AR1165" s="9">
        <v>8</v>
      </c>
      <c r="AS1165" s="9">
        <v>22</v>
      </c>
      <c r="AT1165" s="9">
        <v>39</v>
      </c>
      <c r="AU1165" s="9">
        <v>32</v>
      </c>
      <c r="AV1165" s="9">
        <v>72</v>
      </c>
      <c r="AW1165" s="9">
        <v>84</v>
      </c>
      <c r="AX1165" s="9">
        <v>93</v>
      </c>
      <c r="AY1165" s="9">
        <v>104</v>
      </c>
      <c r="AZ1165" s="9">
        <v>114</v>
      </c>
    </row>
    <row r="1166" spans="2:52">
      <c r="B1166" t="str">
        <f t="shared" si="90"/>
        <v>Aug</v>
      </c>
      <c r="C1166" s="43">
        <f t="shared" si="91"/>
        <v>46264</v>
      </c>
      <c r="D1166" s="44">
        <f t="shared" si="92"/>
        <v>46259</v>
      </c>
      <c r="E1166" s="9" t="s">
        <v>40</v>
      </c>
      <c r="F1166">
        <f t="shared" si="93"/>
        <v>0</v>
      </c>
      <c r="G1166">
        <f t="shared" si="89"/>
        <v>97</v>
      </c>
      <c r="AJ1166" s="40">
        <v>46259</v>
      </c>
      <c r="AK1166" s="9" t="s">
        <v>205</v>
      </c>
      <c r="AL1166" s="9" t="s">
        <v>40</v>
      </c>
      <c r="AM1166" s="9"/>
      <c r="AN1166" s="9">
        <v>0</v>
      </c>
      <c r="AO1166" s="9">
        <v>30</v>
      </c>
      <c r="AP1166" s="9">
        <v>41</v>
      </c>
      <c r="AQ1166" s="9">
        <v>50</v>
      </c>
      <c r="AR1166" s="9">
        <v>41</v>
      </c>
      <c r="AS1166" s="9">
        <v>35</v>
      </c>
      <c r="AT1166" s="9">
        <v>0</v>
      </c>
      <c r="AU1166" s="9">
        <v>0</v>
      </c>
      <c r="AV1166" s="9">
        <v>109</v>
      </c>
      <c r="AW1166" s="9">
        <v>114</v>
      </c>
      <c r="AX1166" s="9">
        <v>113</v>
      </c>
      <c r="AY1166" s="9">
        <v>106</v>
      </c>
      <c r="AZ1166" s="9">
        <v>102</v>
      </c>
    </row>
    <row r="1167" spans="2:52">
      <c r="B1167" t="str">
        <f t="shared" si="90"/>
        <v>Aug</v>
      </c>
      <c r="C1167" s="43">
        <f t="shared" si="91"/>
        <v>46264</v>
      </c>
      <c r="D1167" s="44">
        <f t="shared" si="92"/>
        <v>46259</v>
      </c>
      <c r="E1167" s="9" t="s">
        <v>41</v>
      </c>
      <c r="F1167">
        <f t="shared" si="93"/>
        <v>0</v>
      </c>
      <c r="G1167">
        <f t="shared" ref="G1167:G1230" si="94">SUM(H1167:U1167)+AZ1167-AZ1157</f>
        <v>99</v>
      </c>
      <c r="AJ1167" s="40">
        <v>46259</v>
      </c>
      <c r="AK1167" s="9" t="s">
        <v>41</v>
      </c>
      <c r="AL1167" s="9" t="s">
        <v>41</v>
      </c>
      <c r="AM1167" s="9"/>
      <c r="AN1167" s="9">
        <v>11</v>
      </c>
      <c r="AO1167" s="9">
        <v>0</v>
      </c>
      <c r="AP1167" s="9">
        <v>8</v>
      </c>
      <c r="AQ1167" s="9">
        <v>5</v>
      </c>
      <c r="AR1167" s="9">
        <v>0</v>
      </c>
      <c r="AS1167" s="9">
        <v>2</v>
      </c>
      <c r="AT1167" s="9">
        <v>2</v>
      </c>
      <c r="AU1167" s="9">
        <v>0</v>
      </c>
      <c r="AV1167" s="9">
        <v>132</v>
      </c>
      <c r="AW1167" s="9">
        <v>136</v>
      </c>
      <c r="AX1167" s="9">
        <v>133</v>
      </c>
      <c r="AY1167" s="9">
        <v>114</v>
      </c>
      <c r="AZ1167" s="9">
        <v>112</v>
      </c>
    </row>
    <row r="1168" spans="2:52">
      <c r="B1168" t="str">
        <f t="shared" si="90"/>
        <v>Aug</v>
      </c>
      <c r="C1168" s="43">
        <f t="shared" si="91"/>
        <v>46264</v>
      </c>
      <c r="D1168" s="44">
        <f t="shared" si="92"/>
        <v>46259</v>
      </c>
      <c r="E1168" s="9" t="s">
        <v>45</v>
      </c>
      <c r="F1168">
        <f t="shared" si="93"/>
        <v>0</v>
      </c>
      <c r="G1168">
        <f t="shared" si="94"/>
        <v>-85</v>
      </c>
      <c r="AJ1168" s="40">
        <v>46259</v>
      </c>
      <c r="AK1168" s="9" t="s">
        <v>202</v>
      </c>
      <c r="AL1168" s="9" t="s">
        <v>45</v>
      </c>
      <c r="AM1168" s="9"/>
      <c r="AN1168" s="9">
        <v>21</v>
      </c>
      <c r="AO1168" s="9">
        <v>18</v>
      </c>
      <c r="AP1168" s="9">
        <v>0</v>
      </c>
      <c r="AQ1168" s="9">
        <v>7</v>
      </c>
      <c r="AR1168" s="9">
        <v>3</v>
      </c>
      <c r="AS1168" s="9">
        <v>7</v>
      </c>
      <c r="AT1168" s="9">
        <v>3</v>
      </c>
      <c r="AU1168" s="9">
        <v>2</v>
      </c>
      <c r="AV1168" s="9">
        <v>0</v>
      </c>
      <c r="AW1168" s="9">
        <v>6</v>
      </c>
      <c r="AX1168" s="9">
        <v>0</v>
      </c>
      <c r="AY1168" s="9">
        <v>25</v>
      </c>
      <c r="AZ1168" s="9">
        <v>28</v>
      </c>
    </row>
    <row r="1169" spans="2:52">
      <c r="B1169" t="str">
        <f t="shared" si="90"/>
        <v>Aug</v>
      </c>
      <c r="C1169" s="43">
        <f t="shared" si="91"/>
        <v>46264</v>
      </c>
      <c r="D1169" s="44">
        <f t="shared" si="92"/>
        <v>46259</v>
      </c>
      <c r="E1169" s="9" t="s">
        <v>46</v>
      </c>
      <c r="F1169">
        <f t="shared" si="93"/>
        <v>0</v>
      </c>
      <c r="G1169">
        <f t="shared" si="94"/>
        <v>67</v>
      </c>
      <c r="AJ1169" s="40">
        <v>46259</v>
      </c>
      <c r="AK1169" s="9" t="s">
        <v>202</v>
      </c>
      <c r="AL1169" s="9" t="s">
        <v>46</v>
      </c>
      <c r="AM1169" s="9"/>
      <c r="AN1169" s="9">
        <v>32</v>
      </c>
      <c r="AO1169" s="9">
        <v>33</v>
      </c>
      <c r="AP1169" s="9">
        <v>6</v>
      </c>
      <c r="AQ1169" s="9">
        <v>115</v>
      </c>
      <c r="AR1169" s="9">
        <v>111</v>
      </c>
      <c r="AS1169" s="9">
        <v>114</v>
      </c>
      <c r="AT1169" s="9">
        <v>111</v>
      </c>
      <c r="AU1169" s="9">
        <v>148</v>
      </c>
      <c r="AV1169" s="9">
        <v>152</v>
      </c>
      <c r="AW1169" s="9">
        <v>150</v>
      </c>
      <c r="AX1169" s="9">
        <v>118</v>
      </c>
      <c r="AY1169" s="9">
        <v>83</v>
      </c>
      <c r="AZ1169" s="9">
        <v>86</v>
      </c>
    </row>
    <row r="1170" spans="2:52">
      <c r="B1170" t="str">
        <f t="shared" si="90"/>
        <v>Aug</v>
      </c>
      <c r="C1170" s="43">
        <f t="shared" si="91"/>
        <v>46264</v>
      </c>
      <c r="D1170" s="44">
        <f t="shared" si="92"/>
        <v>46259</v>
      </c>
      <c r="E1170" s="9" t="s">
        <v>47</v>
      </c>
      <c r="F1170">
        <f t="shared" si="93"/>
        <v>0</v>
      </c>
      <c r="G1170">
        <f t="shared" si="94"/>
        <v>47</v>
      </c>
      <c r="AJ1170" s="40">
        <v>46259</v>
      </c>
      <c r="AK1170" s="9" t="s">
        <v>202</v>
      </c>
      <c r="AL1170" s="9" t="s">
        <v>47</v>
      </c>
      <c r="AM1170" s="9"/>
      <c r="AN1170" s="9">
        <v>2</v>
      </c>
      <c r="AO1170" s="9">
        <v>3</v>
      </c>
      <c r="AP1170" s="9">
        <v>6</v>
      </c>
      <c r="AQ1170" s="9">
        <v>3</v>
      </c>
      <c r="AR1170" s="9">
        <v>2</v>
      </c>
      <c r="AS1170" s="9">
        <v>3</v>
      </c>
      <c r="AT1170" s="9">
        <v>0</v>
      </c>
      <c r="AU1170" s="9">
        <v>0</v>
      </c>
      <c r="AV1170" s="9">
        <v>0</v>
      </c>
      <c r="AW1170" s="9">
        <v>55</v>
      </c>
      <c r="AX1170" s="9">
        <v>54</v>
      </c>
      <c r="AY1170" s="9">
        <v>55</v>
      </c>
      <c r="AZ1170" s="9">
        <v>52</v>
      </c>
    </row>
    <row r="1171" spans="2:52">
      <c r="B1171" t="str">
        <f t="shared" si="90"/>
        <v>Aug</v>
      </c>
      <c r="C1171" s="43">
        <f t="shared" si="91"/>
        <v>46264</v>
      </c>
      <c r="D1171" s="44">
        <f t="shared" si="92"/>
        <v>46259</v>
      </c>
      <c r="E1171" s="9" t="s">
        <v>206</v>
      </c>
      <c r="F1171">
        <f t="shared" si="93"/>
        <v>0</v>
      </c>
      <c r="G1171">
        <f t="shared" si="94"/>
        <v>24</v>
      </c>
      <c r="AJ1171" s="40">
        <v>46259</v>
      </c>
      <c r="AK1171" s="9" t="s">
        <v>43</v>
      </c>
      <c r="AL1171" s="9" t="s">
        <v>206</v>
      </c>
      <c r="AM1171" s="9"/>
      <c r="AN1171" s="9">
        <v>51</v>
      </c>
      <c r="AO1171" s="9">
        <v>53</v>
      </c>
      <c r="AP1171" s="9">
        <v>52</v>
      </c>
      <c r="AQ1171" s="9">
        <v>0</v>
      </c>
      <c r="AR1171" s="9">
        <v>0</v>
      </c>
      <c r="AS1171" s="9">
        <v>14</v>
      </c>
      <c r="AT1171" s="9">
        <v>13</v>
      </c>
      <c r="AU1171" s="9">
        <v>0</v>
      </c>
      <c r="AV1171" s="9">
        <v>5</v>
      </c>
      <c r="AW1171" s="9">
        <v>14</v>
      </c>
      <c r="AX1171" s="9">
        <v>21</v>
      </c>
      <c r="AY1171" s="9">
        <v>26</v>
      </c>
      <c r="AZ1171" s="9">
        <v>24</v>
      </c>
    </row>
    <row r="1172" spans="2:52">
      <c r="B1172" t="str">
        <f t="shared" si="90"/>
        <v>Aug</v>
      </c>
      <c r="C1172" s="43">
        <f t="shared" si="91"/>
        <v>46264</v>
      </c>
      <c r="D1172" s="44">
        <f t="shared" si="92"/>
        <v>46259</v>
      </c>
      <c r="E1172" s="9" t="s">
        <v>207</v>
      </c>
      <c r="F1172">
        <f t="shared" si="93"/>
        <v>0</v>
      </c>
      <c r="G1172">
        <f t="shared" si="94"/>
        <v>-1</v>
      </c>
      <c r="AJ1172" s="40">
        <v>46259</v>
      </c>
      <c r="AK1172" s="9" t="s">
        <v>203</v>
      </c>
      <c r="AL1172" s="9" t="s">
        <v>207</v>
      </c>
      <c r="AM1172" s="9"/>
      <c r="AN1172" s="9">
        <v>21</v>
      </c>
      <c r="AO1172" s="9">
        <v>27</v>
      </c>
      <c r="AP1172" s="9">
        <v>27</v>
      </c>
      <c r="AQ1172" s="9">
        <v>33</v>
      </c>
      <c r="AR1172" s="9">
        <v>37</v>
      </c>
      <c r="AS1172" s="9">
        <v>44</v>
      </c>
      <c r="AT1172" s="9">
        <v>42</v>
      </c>
      <c r="AU1172" s="9">
        <v>51</v>
      </c>
      <c r="AV1172" s="9">
        <v>47</v>
      </c>
      <c r="AW1172" s="9">
        <v>0</v>
      </c>
      <c r="AX1172" s="9">
        <v>0</v>
      </c>
      <c r="AY1172" s="9">
        <v>21</v>
      </c>
      <c r="AZ1172" s="9">
        <v>18</v>
      </c>
    </row>
    <row r="1173" spans="2:52">
      <c r="B1173" t="str">
        <f t="shared" si="90"/>
        <v>Aug</v>
      </c>
      <c r="C1173" s="43">
        <f t="shared" si="91"/>
        <v>46264</v>
      </c>
      <c r="D1173" s="44">
        <f t="shared" si="92"/>
        <v>46259</v>
      </c>
      <c r="E1173" s="9" t="s">
        <v>42</v>
      </c>
      <c r="F1173">
        <f t="shared" si="93"/>
        <v>0</v>
      </c>
      <c r="G1173">
        <f t="shared" si="94"/>
        <v>-3</v>
      </c>
      <c r="AJ1173" s="40">
        <v>46259</v>
      </c>
      <c r="AK1173" s="9" t="s">
        <v>42</v>
      </c>
      <c r="AL1173" s="9" t="s">
        <v>42</v>
      </c>
      <c r="AM1173" s="9"/>
      <c r="AN1173" s="9">
        <v>34</v>
      </c>
      <c r="AO1173" s="9">
        <v>73</v>
      </c>
      <c r="AP1173" s="9">
        <v>0</v>
      </c>
      <c r="AQ1173" s="9">
        <v>25</v>
      </c>
      <c r="AR1173" s="9">
        <v>24</v>
      </c>
      <c r="AS1173" s="9">
        <v>0</v>
      </c>
      <c r="AT1173" s="9">
        <v>12</v>
      </c>
      <c r="AU1173" s="9">
        <v>10</v>
      </c>
      <c r="AV1173" s="9">
        <v>9</v>
      </c>
      <c r="AW1173" s="9">
        <v>0</v>
      </c>
      <c r="AX1173" s="9">
        <v>18</v>
      </c>
      <c r="AY1173" s="9">
        <v>0</v>
      </c>
      <c r="AZ1173" s="9">
        <v>0</v>
      </c>
    </row>
    <row r="1174" spans="2:52">
      <c r="B1174" t="str">
        <f t="shared" si="90"/>
        <v>Aug</v>
      </c>
      <c r="C1174" s="43">
        <f t="shared" si="91"/>
        <v>46264</v>
      </c>
      <c r="D1174" s="44">
        <f t="shared" si="92"/>
        <v>46260</v>
      </c>
      <c r="E1174" s="9" t="s">
        <v>31</v>
      </c>
      <c r="F1174">
        <f t="shared" si="93"/>
        <v>0</v>
      </c>
      <c r="G1174">
        <f t="shared" si="94"/>
        <v>-192</v>
      </c>
      <c r="AJ1174" s="40">
        <v>46260</v>
      </c>
      <c r="AK1174" s="9" t="s">
        <v>204</v>
      </c>
      <c r="AL1174" s="9" t="s">
        <v>31</v>
      </c>
      <c r="AM1174" s="9"/>
      <c r="AN1174" s="9">
        <v>139</v>
      </c>
      <c r="AO1174" s="9">
        <v>147</v>
      </c>
      <c r="AP1174" s="9">
        <v>146</v>
      </c>
      <c r="AQ1174" s="9">
        <v>120</v>
      </c>
      <c r="AR1174" s="9">
        <v>140</v>
      </c>
      <c r="AS1174" s="9">
        <v>155</v>
      </c>
      <c r="AT1174" s="9">
        <v>155</v>
      </c>
      <c r="AU1174" s="9">
        <v>173</v>
      </c>
      <c r="AV1174" s="9">
        <v>187</v>
      </c>
      <c r="AW1174" s="9">
        <v>203</v>
      </c>
      <c r="AX1174" s="9">
        <v>0</v>
      </c>
      <c r="AY1174" s="9">
        <v>0</v>
      </c>
      <c r="AZ1174" s="9">
        <v>31</v>
      </c>
    </row>
    <row r="1175" spans="2:52">
      <c r="B1175" t="str">
        <f t="shared" si="90"/>
        <v>Aug</v>
      </c>
      <c r="C1175" s="43">
        <f t="shared" si="91"/>
        <v>46264</v>
      </c>
      <c r="D1175" s="44">
        <f t="shared" si="92"/>
        <v>46260</v>
      </c>
      <c r="E1175" s="9" t="s">
        <v>39</v>
      </c>
      <c r="F1175">
        <f t="shared" si="93"/>
        <v>0</v>
      </c>
      <c r="G1175">
        <f t="shared" si="94"/>
        <v>120</v>
      </c>
      <c r="AJ1175" s="40">
        <v>46260</v>
      </c>
      <c r="AK1175" s="9" t="s">
        <v>205</v>
      </c>
      <c r="AL1175" s="9" t="s">
        <v>39</v>
      </c>
      <c r="AM1175" s="9"/>
      <c r="AN1175" s="9">
        <v>122</v>
      </c>
      <c r="AO1175" s="9">
        <v>126</v>
      </c>
      <c r="AP1175" s="9">
        <v>112</v>
      </c>
      <c r="AQ1175" s="9">
        <v>73</v>
      </c>
      <c r="AR1175" s="9">
        <v>64</v>
      </c>
      <c r="AS1175" s="9">
        <v>68</v>
      </c>
      <c r="AT1175" s="9">
        <v>110</v>
      </c>
      <c r="AU1175" s="9">
        <v>149</v>
      </c>
      <c r="AV1175" s="9">
        <v>225</v>
      </c>
      <c r="AW1175" s="9">
        <v>240</v>
      </c>
      <c r="AX1175" s="9">
        <v>225</v>
      </c>
      <c r="AY1175" s="9">
        <v>234</v>
      </c>
      <c r="AZ1175" s="9">
        <v>234</v>
      </c>
    </row>
    <row r="1176" spans="2:52">
      <c r="B1176" t="str">
        <f t="shared" si="90"/>
        <v>Aug</v>
      </c>
      <c r="C1176" s="43">
        <f t="shared" si="91"/>
        <v>46264</v>
      </c>
      <c r="D1176" s="44">
        <f t="shared" si="92"/>
        <v>46260</v>
      </c>
      <c r="E1176" s="9" t="s">
        <v>40</v>
      </c>
      <c r="F1176">
        <f t="shared" si="93"/>
        <v>0</v>
      </c>
      <c r="G1176">
        <f t="shared" si="94"/>
        <v>-50</v>
      </c>
      <c r="AJ1176" s="40">
        <v>46260</v>
      </c>
      <c r="AK1176" s="9" t="s">
        <v>205</v>
      </c>
      <c r="AL1176" s="9" t="s">
        <v>40</v>
      </c>
      <c r="AM1176" s="9"/>
      <c r="AN1176" s="9">
        <v>59</v>
      </c>
      <c r="AO1176" s="9">
        <v>70</v>
      </c>
      <c r="AP1176" s="9">
        <v>69</v>
      </c>
      <c r="AQ1176" s="9">
        <v>62</v>
      </c>
      <c r="AR1176" s="9">
        <v>57</v>
      </c>
      <c r="AS1176" s="9">
        <v>68</v>
      </c>
      <c r="AT1176" s="9">
        <v>72</v>
      </c>
      <c r="AU1176" s="9">
        <v>68</v>
      </c>
      <c r="AV1176" s="9">
        <v>66</v>
      </c>
      <c r="AW1176" s="9">
        <v>56</v>
      </c>
      <c r="AX1176" s="9">
        <v>57</v>
      </c>
      <c r="AY1176" s="9">
        <v>56</v>
      </c>
      <c r="AZ1176" s="9">
        <v>52</v>
      </c>
    </row>
    <row r="1177" spans="2:52">
      <c r="B1177" t="str">
        <f t="shared" si="90"/>
        <v>Aug</v>
      </c>
      <c r="C1177" s="43">
        <f t="shared" si="91"/>
        <v>46264</v>
      </c>
      <c r="D1177" s="44">
        <f t="shared" si="92"/>
        <v>46260</v>
      </c>
      <c r="E1177" s="9" t="s">
        <v>41</v>
      </c>
      <c r="F1177">
        <f t="shared" si="93"/>
        <v>0</v>
      </c>
      <c r="G1177">
        <f t="shared" si="94"/>
        <v>-78</v>
      </c>
      <c r="AJ1177" s="40">
        <v>46260</v>
      </c>
      <c r="AK1177" s="9" t="s">
        <v>41</v>
      </c>
      <c r="AL1177" s="9" t="s">
        <v>41</v>
      </c>
      <c r="AM1177" s="9"/>
      <c r="AN1177" s="9">
        <v>40</v>
      </c>
      <c r="AO1177" s="9">
        <v>0</v>
      </c>
      <c r="AP1177" s="9">
        <v>28</v>
      </c>
      <c r="AQ1177" s="9">
        <v>25</v>
      </c>
      <c r="AR1177" s="9">
        <v>27</v>
      </c>
      <c r="AS1177" s="9">
        <v>23</v>
      </c>
      <c r="AT1177" s="9">
        <v>0</v>
      </c>
      <c r="AU1177" s="9">
        <v>17</v>
      </c>
      <c r="AV1177" s="9">
        <v>16</v>
      </c>
      <c r="AW1177" s="9">
        <v>15</v>
      </c>
      <c r="AX1177" s="9">
        <v>18</v>
      </c>
      <c r="AY1177" s="9">
        <v>18</v>
      </c>
      <c r="AZ1177" s="9">
        <v>34</v>
      </c>
    </row>
    <row r="1178" spans="2:52">
      <c r="B1178" t="str">
        <f t="shared" si="90"/>
        <v>Aug</v>
      </c>
      <c r="C1178" s="43">
        <f t="shared" si="91"/>
        <v>46264</v>
      </c>
      <c r="D1178" s="44">
        <f t="shared" si="92"/>
        <v>46260</v>
      </c>
      <c r="E1178" s="9" t="s">
        <v>45</v>
      </c>
      <c r="F1178">
        <f t="shared" si="93"/>
        <v>0</v>
      </c>
      <c r="G1178">
        <f t="shared" si="94"/>
        <v>192</v>
      </c>
      <c r="AJ1178" s="40">
        <v>46260</v>
      </c>
      <c r="AK1178" s="9" t="s">
        <v>202</v>
      </c>
      <c r="AL1178" s="9" t="s">
        <v>45</v>
      </c>
      <c r="AM1178" s="9"/>
      <c r="AN1178" s="9">
        <v>24</v>
      </c>
      <c r="AO1178" s="9">
        <v>66</v>
      </c>
      <c r="AP1178" s="9">
        <v>71</v>
      </c>
      <c r="AQ1178" s="9">
        <v>74</v>
      </c>
      <c r="AR1178" s="9">
        <v>82</v>
      </c>
      <c r="AS1178" s="9">
        <v>85</v>
      </c>
      <c r="AT1178" s="9">
        <v>58</v>
      </c>
      <c r="AU1178" s="9">
        <v>64</v>
      </c>
      <c r="AV1178" s="9">
        <v>60</v>
      </c>
      <c r="AW1178" s="9">
        <v>229</v>
      </c>
      <c r="AX1178" s="9">
        <v>223</v>
      </c>
      <c r="AY1178" s="9">
        <v>225</v>
      </c>
      <c r="AZ1178" s="9">
        <v>220</v>
      </c>
    </row>
    <row r="1179" spans="2:52">
      <c r="B1179" t="str">
        <f t="shared" si="90"/>
        <v>Aug</v>
      </c>
      <c r="C1179" s="43">
        <f t="shared" si="91"/>
        <v>46264</v>
      </c>
      <c r="D1179" s="44">
        <f t="shared" si="92"/>
        <v>46260</v>
      </c>
      <c r="E1179" s="9" t="s">
        <v>46</v>
      </c>
      <c r="F1179">
        <f t="shared" si="93"/>
        <v>0</v>
      </c>
      <c r="G1179">
        <f t="shared" si="94"/>
        <v>29</v>
      </c>
      <c r="AJ1179" s="40">
        <v>46260</v>
      </c>
      <c r="AK1179" s="9" t="s">
        <v>202</v>
      </c>
      <c r="AL1179" s="9" t="s">
        <v>46</v>
      </c>
      <c r="AM1179" s="9"/>
      <c r="AN1179" s="9">
        <v>127</v>
      </c>
      <c r="AO1179" s="9">
        <v>126</v>
      </c>
      <c r="AP1179" s="9">
        <v>124</v>
      </c>
      <c r="AQ1179" s="9">
        <v>123</v>
      </c>
      <c r="AR1179" s="9">
        <v>126</v>
      </c>
      <c r="AS1179" s="9">
        <v>128</v>
      </c>
      <c r="AT1179" s="9">
        <v>125</v>
      </c>
      <c r="AU1179" s="9">
        <v>129</v>
      </c>
      <c r="AV1179" s="9">
        <v>127</v>
      </c>
      <c r="AW1179" s="9">
        <v>117</v>
      </c>
      <c r="AX1179" s="9">
        <v>122</v>
      </c>
      <c r="AY1179" s="9">
        <v>118</v>
      </c>
      <c r="AZ1179" s="9">
        <v>115</v>
      </c>
    </row>
    <row r="1180" spans="2:52">
      <c r="B1180" t="str">
        <f t="shared" si="90"/>
        <v>Aug</v>
      </c>
      <c r="C1180" s="43">
        <f t="shared" si="91"/>
        <v>46264</v>
      </c>
      <c r="D1180" s="44">
        <f t="shared" si="92"/>
        <v>46260</v>
      </c>
      <c r="E1180" s="9" t="s">
        <v>47</v>
      </c>
      <c r="F1180">
        <f t="shared" si="93"/>
        <v>0</v>
      </c>
      <c r="G1180">
        <f t="shared" si="94"/>
        <v>-52</v>
      </c>
      <c r="AJ1180" s="40">
        <v>46260</v>
      </c>
      <c r="AK1180" s="9" t="s">
        <v>202</v>
      </c>
      <c r="AL1180" s="9" t="s">
        <v>47</v>
      </c>
      <c r="AM1180" s="9"/>
      <c r="AN1180" s="9">
        <v>16</v>
      </c>
      <c r="AO1180" s="9">
        <v>13</v>
      </c>
      <c r="AP1180" s="9">
        <v>14</v>
      </c>
      <c r="AQ1180" s="9">
        <v>0</v>
      </c>
      <c r="AR1180" s="9">
        <v>15</v>
      </c>
      <c r="AS1180" s="9">
        <v>14</v>
      </c>
      <c r="AT1180" s="9">
        <v>0</v>
      </c>
      <c r="AU1180" s="9">
        <v>6</v>
      </c>
      <c r="AV1180" s="9">
        <v>4</v>
      </c>
      <c r="AW1180" s="9">
        <v>5</v>
      </c>
      <c r="AX1180" s="9">
        <v>0</v>
      </c>
      <c r="AY1180" s="9">
        <v>2</v>
      </c>
      <c r="AZ1180" s="9">
        <v>0</v>
      </c>
    </row>
    <row r="1181" spans="2:52">
      <c r="B1181" t="str">
        <f t="shared" si="90"/>
        <v>Aug</v>
      </c>
      <c r="C1181" s="43">
        <f t="shared" si="91"/>
        <v>46264</v>
      </c>
      <c r="D1181" s="44">
        <f t="shared" si="92"/>
        <v>46260</v>
      </c>
      <c r="E1181" s="9" t="s">
        <v>206</v>
      </c>
      <c r="F1181">
        <f t="shared" si="93"/>
        <v>0</v>
      </c>
      <c r="G1181">
        <f t="shared" si="94"/>
        <v>117</v>
      </c>
      <c r="AJ1181" s="40">
        <v>46260</v>
      </c>
      <c r="AK1181" s="9" t="s">
        <v>43</v>
      </c>
      <c r="AL1181" s="9" t="s">
        <v>206</v>
      </c>
      <c r="AM1181" s="9"/>
      <c r="AN1181" s="9">
        <v>0</v>
      </c>
      <c r="AO1181" s="9">
        <v>3</v>
      </c>
      <c r="AP1181" s="9">
        <v>2</v>
      </c>
      <c r="AQ1181" s="9">
        <v>10</v>
      </c>
      <c r="AR1181" s="9">
        <v>7</v>
      </c>
      <c r="AS1181" s="9">
        <v>87</v>
      </c>
      <c r="AT1181" s="9">
        <v>89</v>
      </c>
      <c r="AU1181" s="9">
        <v>81</v>
      </c>
      <c r="AV1181" s="9">
        <v>88</v>
      </c>
      <c r="AW1181" s="9">
        <v>122</v>
      </c>
      <c r="AX1181" s="9">
        <v>130</v>
      </c>
      <c r="AY1181" s="9">
        <v>131</v>
      </c>
      <c r="AZ1181" s="9">
        <v>141</v>
      </c>
    </row>
    <row r="1182" spans="2:52">
      <c r="B1182" t="str">
        <f t="shared" si="90"/>
        <v>Aug</v>
      </c>
      <c r="C1182" s="43">
        <f t="shared" si="91"/>
        <v>46264</v>
      </c>
      <c r="D1182" s="44">
        <f t="shared" si="92"/>
        <v>46260</v>
      </c>
      <c r="E1182" s="9" t="s">
        <v>207</v>
      </c>
      <c r="F1182">
        <f t="shared" si="93"/>
        <v>0</v>
      </c>
      <c r="G1182">
        <f t="shared" si="94"/>
        <v>27</v>
      </c>
      <c r="AJ1182" s="40">
        <v>46260</v>
      </c>
      <c r="AK1182" s="9" t="s">
        <v>203</v>
      </c>
      <c r="AL1182" s="9" t="s">
        <v>207</v>
      </c>
      <c r="AM1182" s="9"/>
      <c r="AN1182" s="9">
        <v>13</v>
      </c>
      <c r="AO1182" s="9">
        <v>7</v>
      </c>
      <c r="AP1182" s="9">
        <v>7</v>
      </c>
      <c r="AQ1182" s="9">
        <v>7</v>
      </c>
      <c r="AR1182" s="9">
        <v>13</v>
      </c>
      <c r="AS1182" s="9">
        <v>20</v>
      </c>
      <c r="AT1182" s="9">
        <v>24</v>
      </c>
      <c r="AU1182" s="9">
        <v>18</v>
      </c>
      <c r="AV1182" s="9">
        <v>12</v>
      </c>
      <c r="AW1182" s="9">
        <v>19</v>
      </c>
      <c r="AX1182" s="9">
        <v>22</v>
      </c>
      <c r="AY1182" s="9">
        <v>42</v>
      </c>
      <c r="AZ1182" s="9">
        <v>45</v>
      </c>
    </row>
    <row r="1183" spans="2:52">
      <c r="B1183" t="str">
        <f t="shared" si="90"/>
        <v>Aug</v>
      </c>
      <c r="C1183" s="43">
        <f t="shared" si="91"/>
        <v>46264</v>
      </c>
      <c r="D1183" s="44">
        <f t="shared" si="92"/>
        <v>46260</v>
      </c>
      <c r="E1183" s="9" t="s">
        <v>42</v>
      </c>
      <c r="F1183">
        <f t="shared" si="93"/>
        <v>0</v>
      </c>
      <c r="G1183">
        <f t="shared" si="94"/>
        <v>137</v>
      </c>
      <c r="AJ1183" s="40">
        <v>46260</v>
      </c>
      <c r="AK1183" s="9" t="s">
        <v>42</v>
      </c>
      <c r="AL1183" s="9" t="s">
        <v>42</v>
      </c>
      <c r="AM1183" s="9"/>
      <c r="AN1183" s="9">
        <v>0</v>
      </c>
      <c r="AO1183" s="9">
        <v>6</v>
      </c>
      <c r="AP1183" s="9">
        <v>2</v>
      </c>
      <c r="AQ1183" s="9">
        <v>0</v>
      </c>
      <c r="AR1183" s="9">
        <v>22</v>
      </c>
      <c r="AS1183" s="9">
        <v>16</v>
      </c>
      <c r="AT1183" s="9">
        <v>82</v>
      </c>
      <c r="AU1183" s="9">
        <v>79</v>
      </c>
      <c r="AV1183" s="9">
        <v>131</v>
      </c>
      <c r="AW1183" s="9">
        <v>125</v>
      </c>
      <c r="AX1183" s="9">
        <v>146</v>
      </c>
      <c r="AY1183" s="9">
        <v>142</v>
      </c>
      <c r="AZ1183" s="9">
        <v>137</v>
      </c>
    </row>
    <row r="1184" spans="2:52">
      <c r="B1184" t="str">
        <f t="shared" si="90"/>
        <v>Aug</v>
      </c>
      <c r="C1184" s="43">
        <f t="shared" si="91"/>
        <v>46264</v>
      </c>
      <c r="D1184" s="44">
        <f t="shared" si="92"/>
        <v>46261</v>
      </c>
      <c r="E1184" s="9" t="s">
        <v>31</v>
      </c>
      <c r="F1184">
        <f t="shared" si="93"/>
        <v>0</v>
      </c>
      <c r="G1184">
        <f t="shared" si="94"/>
        <v>-25</v>
      </c>
      <c r="AJ1184" s="40">
        <v>46261</v>
      </c>
      <c r="AK1184" s="9" t="s">
        <v>204</v>
      </c>
      <c r="AL1184" s="9" t="s">
        <v>31</v>
      </c>
      <c r="AM1184" s="9"/>
      <c r="AN1184" s="9">
        <v>97</v>
      </c>
      <c r="AO1184" s="9">
        <v>160</v>
      </c>
      <c r="AP1184" s="9">
        <v>153</v>
      </c>
      <c r="AQ1184" s="9">
        <v>167</v>
      </c>
      <c r="AR1184" s="9">
        <v>152</v>
      </c>
      <c r="AS1184" s="9">
        <v>0</v>
      </c>
      <c r="AT1184" s="9">
        <v>1</v>
      </c>
      <c r="AU1184" s="9">
        <v>62</v>
      </c>
      <c r="AV1184" s="9">
        <v>76</v>
      </c>
      <c r="AW1184" s="9">
        <v>70</v>
      </c>
      <c r="AX1184" s="9">
        <v>70</v>
      </c>
      <c r="AY1184" s="9">
        <v>0</v>
      </c>
      <c r="AZ1184" s="9">
        <v>6</v>
      </c>
    </row>
    <row r="1185" spans="2:52">
      <c r="B1185" t="str">
        <f t="shared" si="90"/>
        <v>Aug</v>
      </c>
      <c r="C1185" s="43">
        <f t="shared" si="91"/>
        <v>46264</v>
      </c>
      <c r="D1185" s="44">
        <f t="shared" si="92"/>
        <v>46261</v>
      </c>
      <c r="E1185" s="9" t="s">
        <v>39</v>
      </c>
      <c r="F1185">
        <f t="shared" si="93"/>
        <v>0</v>
      </c>
      <c r="G1185">
        <f t="shared" si="94"/>
        <v>-170</v>
      </c>
      <c r="AJ1185" s="40">
        <v>46261</v>
      </c>
      <c r="AK1185" s="9" t="s">
        <v>205</v>
      </c>
      <c r="AL1185" s="9" t="s">
        <v>39</v>
      </c>
      <c r="AM1185" s="9"/>
      <c r="AN1185" s="9">
        <v>100</v>
      </c>
      <c r="AO1185" s="9">
        <v>117</v>
      </c>
      <c r="AP1185" s="9">
        <v>132</v>
      </c>
      <c r="AQ1185" s="9">
        <v>143</v>
      </c>
      <c r="AR1185" s="9">
        <v>0</v>
      </c>
      <c r="AS1185" s="9">
        <v>7</v>
      </c>
      <c r="AT1185" s="9">
        <v>21</v>
      </c>
      <c r="AU1185" s="9">
        <v>29</v>
      </c>
      <c r="AV1185" s="9">
        <v>26</v>
      </c>
      <c r="AW1185" s="9">
        <v>76</v>
      </c>
      <c r="AX1185" s="9">
        <v>63</v>
      </c>
      <c r="AY1185" s="9">
        <v>47</v>
      </c>
      <c r="AZ1185" s="9">
        <v>64</v>
      </c>
    </row>
    <row r="1186" spans="2:52">
      <c r="B1186" t="str">
        <f t="shared" si="90"/>
        <v>Aug</v>
      </c>
      <c r="C1186" s="43">
        <f t="shared" si="91"/>
        <v>46264</v>
      </c>
      <c r="D1186" s="44">
        <f t="shared" si="92"/>
        <v>46261</v>
      </c>
      <c r="E1186" s="9" t="s">
        <v>40</v>
      </c>
      <c r="F1186">
        <f t="shared" si="93"/>
        <v>0</v>
      </c>
      <c r="G1186">
        <f t="shared" si="94"/>
        <v>-52</v>
      </c>
      <c r="AJ1186" s="40">
        <v>46261</v>
      </c>
      <c r="AK1186" s="9" t="s">
        <v>205</v>
      </c>
      <c r="AL1186" s="9" t="s">
        <v>40</v>
      </c>
      <c r="AM1186" s="9"/>
      <c r="AN1186" s="9">
        <v>32</v>
      </c>
      <c r="AO1186" s="9">
        <v>42</v>
      </c>
      <c r="AP1186" s="9">
        <v>37</v>
      </c>
      <c r="AQ1186" s="9">
        <v>39</v>
      </c>
      <c r="AR1186" s="9">
        <v>45</v>
      </c>
      <c r="AS1186" s="9">
        <v>39</v>
      </c>
      <c r="AT1186" s="9">
        <v>134</v>
      </c>
      <c r="AU1186" s="9">
        <v>124</v>
      </c>
      <c r="AV1186" s="9">
        <v>143</v>
      </c>
      <c r="AW1186" s="9">
        <v>147</v>
      </c>
      <c r="AX1186" s="9">
        <v>0</v>
      </c>
      <c r="AY1186" s="9">
        <v>9</v>
      </c>
      <c r="AZ1186" s="9">
        <v>0</v>
      </c>
    </row>
    <row r="1187" spans="2:52">
      <c r="B1187" t="str">
        <f t="shared" si="90"/>
        <v>Aug</v>
      </c>
      <c r="C1187" s="43">
        <f t="shared" si="91"/>
        <v>46264</v>
      </c>
      <c r="D1187" s="44">
        <f t="shared" si="92"/>
        <v>46261</v>
      </c>
      <c r="E1187" s="9" t="s">
        <v>41</v>
      </c>
      <c r="F1187">
        <f t="shared" si="93"/>
        <v>0</v>
      </c>
      <c r="G1187">
        <f t="shared" si="94"/>
        <v>42</v>
      </c>
      <c r="AJ1187" s="40">
        <v>46261</v>
      </c>
      <c r="AK1187" s="9" t="s">
        <v>41</v>
      </c>
      <c r="AL1187" s="9" t="s">
        <v>41</v>
      </c>
      <c r="AM1187" s="9"/>
      <c r="AN1187" s="9">
        <v>0</v>
      </c>
      <c r="AO1187" s="9">
        <v>0</v>
      </c>
      <c r="AP1187" s="9">
        <v>3</v>
      </c>
      <c r="AQ1187" s="9">
        <v>5</v>
      </c>
      <c r="AR1187" s="9">
        <v>5</v>
      </c>
      <c r="AS1187" s="9">
        <v>10</v>
      </c>
      <c r="AT1187" s="9">
        <v>7</v>
      </c>
      <c r="AU1187" s="9">
        <v>10</v>
      </c>
      <c r="AV1187" s="9">
        <v>11</v>
      </c>
      <c r="AW1187" s="9">
        <v>14</v>
      </c>
      <c r="AX1187" s="9">
        <v>13</v>
      </c>
      <c r="AY1187" s="9">
        <v>17</v>
      </c>
      <c r="AZ1187" s="9">
        <v>76</v>
      </c>
    </row>
    <row r="1188" spans="2:52">
      <c r="B1188" t="str">
        <f t="shared" si="90"/>
        <v>Aug</v>
      </c>
      <c r="C1188" s="43">
        <f t="shared" si="91"/>
        <v>46264</v>
      </c>
      <c r="D1188" s="44">
        <f t="shared" si="92"/>
        <v>46261</v>
      </c>
      <c r="E1188" s="9" t="s">
        <v>45</v>
      </c>
      <c r="F1188">
        <f t="shared" si="93"/>
        <v>0</v>
      </c>
      <c r="G1188">
        <f t="shared" si="94"/>
        <v>-188</v>
      </c>
      <c r="AJ1188" s="40">
        <v>46261</v>
      </c>
      <c r="AK1188" s="9" t="s">
        <v>202</v>
      </c>
      <c r="AL1188" s="9" t="s">
        <v>45</v>
      </c>
      <c r="AM1188" s="9"/>
      <c r="AN1188" s="9">
        <v>43</v>
      </c>
      <c r="AO1188" s="9">
        <v>36</v>
      </c>
      <c r="AP1188" s="9">
        <v>35</v>
      </c>
      <c r="AQ1188" s="9">
        <v>42</v>
      </c>
      <c r="AR1188" s="9">
        <v>78</v>
      </c>
      <c r="AS1188" s="9">
        <v>54</v>
      </c>
      <c r="AT1188" s="9">
        <v>48</v>
      </c>
      <c r="AU1188" s="9">
        <v>54</v>
      </c>
      <c r="AV1188" s="9">
        <v>59</v>
      </c>
      <c r="AW1188" s="9">
        <v>66</v>
      </c>
      <c r="AX1188" s="9">
        <v>20</v>
      </c>
      <c r="AY1188" s="9">
        <v>25</v>
      </c>
      <c r="AZ1188" s="9">
        <v>32</v>
      </c>
    </row>
    <row r="1189" spans="2:52">
      <c r="B1189" t="str">
        <f t="shared" si="90"/>
        <v>Aug</v>
      </c>
      <c r="C1189" s="43">
        <f t="shared" si="91"/>
        <v>46264</v>
      </c>
      <c r="D1189" s="44">
        <f t="shared" si="92"/>
        <v>46261</v>
      </c>
      <c r="E1189" s="9" t="s">
        <v>46</v>
      </c>
      <c r="F1189">
        <f t="shared" si="93"/>
        <v>0</v>
      </c>
      <c r="G1189">
        <f t="shared" si="94"/>
        <v>-114</v>
      </c>
      <c r="AJ1189" s="40">
        <v>46261</v>
      </c>
      <c r="AK1189" s="9" t="s">
        <v>202</v>
      </c>
      <c r="AL1189" s="9" t="s">
        <v>46</v>
      </c>
      <c r="AM1189" s="9"/>
      <c r="AN1189" s="9">
        <v>27</v>
      </c>
      <c r="AO1189" s="9">
        <v>30</v>
      </c>
      <c r="AP1189" s="9">
        <v>0</v>
      </c>
      <c r="AQ1189" s="9">
        <v>7</v>
      </c>
      <c r="AR1189" s="9">
        <v>5</v>
      </c>
      <c r="AS1189" s="9">
        <v>0</v>
      </c>
      <c r="AT1189" s="9">
        <v>2</v>
      </c>
      <c r="AU1189" s="9">
        <v>5</v>
      </c>
      <c r="AV1189" s="9">
        <v>4</v>
      </c>
      <c r="AW1189" s="9">
        <v>8</v>
      </c>
      <c r="AX1189" s="9">
        <v>6</v>
      </c>
      <c r="AY1189" s="9">
        <v>3</v>
      </c>
      <c r="AZ1189" s="9">
        <v>1</v>
      </c>
    </row>
    <row r="1190" spans="2:52">
      <c r="B1190" t="str">
        <f t="shared" si="90"/>
        <v>Aug</v>
      </c>
      <c r="C1190" s="43">
        <f t="shared" si="91"/>
        <v>46264</v>
      </c>
      <c r="D1190" s="44">
        <f t="shared" si="92"/>
        <v>46261</v>
      </c>
      <c r="E1190" s="9" t="s">
        <v>47</v>
      </c>
      <c r="F1190">
        <f t="shared" si="93"/>
        <v>0</v>
      </c>
      <c r="G1190">
        <f t="shared" si="94"/>
        <v>0</v>
      </c>
      <c r="AJ1190" s="40">
        <v>46261</v>
      </c>
      <c r="AK1190" s="9" t="s">
        <v>202</v>
      </c>
      <c r="AL1190" s="9" t="s">
        <v>47</v>
      </c>
      <c r="AM1190" s="9"/>
      <c r="AN1190" s="9">
        <v>5</v>
      </c>
      <c r="AO1190" s="9">
        <v>0</v>
      </c>
      <c r="AP1190" s="9">
        <v>0</v>
      </c>
      <c r="AQ1190" s="9">
        <v>7</v>
      </c>
      <c r="AR1190" s="9">
        <v>8</v>
      </c>
      <c r="AS1190" s="9">
        <v>6</v>
      </c>
      <c r="AT1190" s="9">
        <v>3</v>
      </c>
      <c r="AU1190" s="9">
        <v>0</v>
      </c>
      <c r="AV1190" s="9">
        <v>0</v>
      </c>
      <c r="AW1190" s="9">
        <v>4</v>
      </c>
      <c r="AX1190" s="9">
        <v>8</v>
      </c>
      <c r="AY1190" s="9">
        <v>7</v>
      </c>
      <c r="AZ1190" s="9">
        <v>0</v>
      </c>
    </row>
    <row r="1191" spans="2:52">
      <c r="B1191" t="str">
        <f t="shared" si="90"/>
        <v>Aug</v>
      </c>
      <c r="C1191" s="43">
        <f t="shared" si="91"/>
        <v>46264</v>
      </c>
      <c r="D1191" s="44">
        <f t="shared" si="92"/>
        <v>46261</v>
      </c>
      <c r="E1191" s="9" t="s">
        <v>206</v>
      </c>
      <c r="F1191">
        <f t="shared" si="93"/>
        <v>0</v>
      </c>
      <c r="G1191">
        <f t="shared" si="94"/>
        <v>-136</v>
      </c>
      <c r="AJ1191" s="40">
        <v>46261</v>
      </c>
      <c r="AK1191" s="9" t="s">
        <v>43</v>
      </c>
      <c r="AL1191" s="9" t="s">
        <v>206</v>
      </c>
      <c r="AM1191" s="9"/>
      <c r="AN1191" s="9">
        <v>29</v>
      </c>
      <c r="AO1191" s="9">
        <v>0</v>
      </c>
      <c r="AP1191" s="9">
        <v>8</v>
      </c>
      <c r="AQ1191" s="9">
        <v>0</v>
      </c>
      <c r="AR1191" s="9">
        <v>7</v>
      </c>
      <c r="AS1191" s="9">
        <v>12</v>
      </c>
      <c r="AT1191" s="9">
        <v>0</v>
      </c>
      <c r="AU1191" s="9">
        <v>0</v>
      </c>
      <c r="AV1191" s="9">
        <v>0</v>
      </c>
      <c r="AW1191" s="9">
        <v>0</v>
      </c>
      <c r="AX1191" s="9">
        <v>10</v>
      </c>
      <c r="AY1191" s="9">
        <v>0</v>
      </c>
      <c r="AZ1191" s="9">
        <v>5</v>
      </c>
    </row>
    <row r="1192" spans="2:52">
      <c r="B1192" t="str">
        <f t="shared" si="90"/>
        <v>Aug</v>
      </c>
      <c r="C1192" s="43">
        <f t="shared" si="91"/>
        <v>46264</v>
      </c>
      <c r="D1192" s="44">
        <f t="shared" si="92"/>
        <v>46261</v>
      </c>
      <c r="E1192" s="9" t="s">
        <v>207</v>
      </c>
      <c r="F1192">
        <f t="shared" si="93"/>
        <v>0</v>
      </c>
      <c r="G1192">
        <f t="shared" si="94"/>
        <v>-33</v>
      </c>
      <c r="AJ1192" s="40">
        <v>46261</v>
      </c>
      <c r="AK1192" s="9" t="s">
        <v>203</v>
      </c>
      <c r="AL1192" s="9" t="s">
        <v>207</v>
      </c>
      <c r="AM1192" s="9"/>
      <c r="AN1192" s="9">
        <v>0</v>
      </c>
      <c r="AO1192" s="9">
        <v>13</v>
      </c>
      <c r="AP1192" s="9">
        <v>80</v>
      </c>
      <c r="AQ1192" s="9">
        <v>83</v>
      </c>
      <c r="AR1192" s="9">
        <v>44</v>
      </c>
      <c r="AS1192" s="9">
        <v>50</v>
      </c>
      <c r="AT1192" s="9">
        <v>57</v>
      </c>
      <c r="AU1192" s="9">
        <v>49</v>
      </c>
      <c r="AV1192" s="9">
        <v>46</v>
      </c>
      <c r="AW1192" s="9">
        <v>0</v>
      </c>
      <c r="AX1192" s="9">
        <v>9</v>
      </c>
      <c r="AY1192" s="9">
        <v>0</v>
      </c>
      <c r="AZ1192" s="9">
        <v>12</v>
      </c>
    </row>
    <row r="1193" spans="2:52">
      <c r="B1193" t="str">
        <f t="shared" si="90"/>
        <v>Aug</v>
      </c>
      <c r="C1193" s="43">
        <f t="shared" si="91"/>
        <v>46264</v>
      </c>
      <c r="D1193" s="44">
        <f t="shared" si="92"/>
        <v>46261</v>
      </c>
      <c r="E1193" s="9" t="s">
        <v>42</v>
      </c>
      <c r="F1193">
        <f t="shared" si="93"/>
        <v>0</v>
      </c>
      <c r="G1193">
        <f t="shared" si="94"/>
        <v>-137</v>
      </c>
      <c r="AJ1193" s="40">
        <v>46261</v>
      </c>
      <c r="AK1193" s="9" t="s">
        <v>42</v>
      </c>
      <c r="AL1193" s="9" t="s">
        <v>42</v>
      </c>
      <c r="AM1193" s="9"/>
      <c r="AN1193" s="9">
        <v>171</v>
      </c>
      <c r="AO1193" s="9">
        <v>168</v>
      </c>
      <c r="AP1193" s="9">
        <v>167</v>
      </c>
      <c r="AQ1193" s="9">
        <v>162</v>
      </c>
      <c r="AR1193" s="9">
        <v>0</v>
      </c>
      <c r="AS1193" s="9">
        <v>0</v>
      </c>
      <c r="AT1193" s="9">
        <v>0</v>
      </c>
      <c r="AU1193" s="9">
        <v>12</v>
      </c>
      <c r="AV1193" s="9">
        <v>9</v>
      </c>
      <c r="AW1193" s="9">
        <v>0</v>
      </c>
      <c r="AX1193" s="9">
        <v>16</v>
      </c>
      <c r="AY1193" s="9">
        <v>18</v>
      </c>
      <c r="AZ1193" s="9">
        <v>0</v>
      </c>
    </row>
    <row r="1194" spans="2:52">
      <c r="B1194" t="str">
        <f t="shared" si="90"/>
        <v>Aug</v>
      </c>
      <c r="C1194" s="43">
        <f t="shared" si="91"/>
        <v>46264</v>
      </c>
      <c r="D1194" s="44">
        <f t="shared" si="92"/>
        <v>46262</v>
      </c>
      <c r="E1194" s="9" t="s">
        <v>31</v>
      </c>
      <c r="F1194">
        <f t="shared" si="93"/>
        <v>0</v>
      </c>
      <c r="G1194">
        <f t="shared" si="94"/>
        <v>-6</v>
      </c>
      <c r="AJ1194" s="40">
        <v>46262</v>
      </c>
      <c r="AK1194" s="9" t="s">
        <v>204</v>
      </c>
      <c r="AL1194" s="9" t="s">
        <v>31</v>
      </c>
      <c r="AM1194" s="9"/>
      <c r="AN1194" s="9">
        <v>122</v>
      </c>
      <c r="AO1194" s="9">
        <v>119</v>
      </c>
      <c r="AP1194" s="9">
        <v>127</v>
      </c>
      <c r="AQ1194" s="9">
        <v>129</v>
      </c>
      <c r="AR1194" s="9">
        <v>126</v>
      </c>
      <c r="AS1194" s="9">
        <v>123</v>
      </c>
      <c r="AT1194" s="9">
        <v>115</v>
      </c>
      <c r="AU1194" s="9">
        <v>0</v>
      </c>
      <c r="AV1194" s="9">
        <v>53</v>
      </c>
      <c r="AW1194" s="9">
        <v>59</v>
      </c>
      <c r="AX1194" s="9">
        <v>63</v>
      </c>
      <c r="AY1194" s="9">
        <v>48</v>
      </c>
      <c r="AZ1194" s="9">
        <v>0</v>
      </c>
    </row>
    <row r="1195" spans="2:52">
      <c r="B1195" t="str">
        <f t="shared" si="90"/>
        <v>Aug</v>
      </c>
      <c r="C1195" s="43">
        <f t="shared" si="91"/>
        <v>46264</v>
      </c>
      <c r="D1195" s="44">
        <f t="shared" si="92"/>
        <v>46262</v>
      </c>
      <c r="E1195" s="9" t="s">
        <v>39</v>
      </c>
      <c r="F1195">
        <f t="shared" si="93"/>
        <v>0</v>
      </c>
      <c r="G1195">
        <f t="shared" si="94"/>
        <v>-32</v>
      </c>
      <c r="AJ1195" s="40">
        <v>46262</v>
      </c>
      <c r="AK1195" s="9" t="s">
        <v>205</v>
      </c>
      <c r="AL1195" s="9" t="s">
        <v>39</v>
      </c>
      <c r="AM1195" s="9"/>
      <c r="AN1195" s="9">
        <v>92</v>
      </c>
      <c r="AO1195" s="9">
        <v>83</v>
      </c>
      <c r="AP1195" s="9">
        <v>130</v>
      </c>
      <c r="AQ1195" s="9">
        <v>0</v>
      </c>
      <c r="AR1195" s="9">
        <v>46</v>
      </c>
      <c r="AS1195" s="9">
        <v>0</v>
      </c>
      <c r="AT1195" s="9">
        <v>0</v>
      </c>
      <c r="AU1195" s="9">
        <v>2</v>
      </c>
      <c r="AV1195" s="9">
        <v>6</v>
      </c>
      <c r="AW1195" s="9">
        <v>7</v>
      </c>
      <c r="AX1195" s="9">
        <v>2</v>
      </c>
      <c r="AY1195" s="9">
        <v>18</v>
      </c>
      <c r="AZ1195" s="9">
        <v>32</v>
      </c>
    </row>
    <row r="1196" spans="2:52">
      <c r="B1196" t="str">
        <f t="shared" si="90"/>
        <v>Aug</v>
      </c>
      <c r="C1196" s="43">
        <f t="shared" si="91"/>
        <v>46264</v>
      </c>
      <c r="D1196" s="44">
        <f t="shared" si="92"/>
        <v>46262</v>
      </c>
      <c r="E1196" s="9" t="s">
        <v>40</v>
      </c>
      <c r="F1196">
        <f t="shared" si="93"/>
        <v>0</v>
      </c>
      <c r="G1196">
        <f t="shared" si="94"/>
        <v>28</v>
      </c>
      <c r="AJ1196" s="40">
        <v>46262</v>
      </c>
      <c r="AK1196" s="9" t="s">
        <v>205</v>
      </c>
      <c r="AL1196" s="9" t="s">
        <v>40</v>
      </c>
      <c r="AM1196" s="9"/>
      <c r="AN1196" s="9">
        <v>29</v>
      </c>
      <c r="AO1196" s="9">
        <v>22</v>
      </c>
      <c r="AP1196" s="9">
        <v>17</v>
      </c>
      <c r="AQ1196" s="9">
        <v>19</v>
      </c>
      <c r="AR1196" s="9">
        <v>10</v>
      </c>
      <c r="AS1196" s="9">
        <v>0</v>
      </c>
      <c r="AT1196" s="9">
        <v>21</v>
      </c>
      <c r="AU1196" s="9">
        <v>20</v>
      </c>
      <c r="AV1196" s="9">
        <v>27</v>
      </c>
      <c r="AW1196" s="9">
        <v>22</v>
      </c>
      <c r="AX1196" s="9">
        <v>28</v>
      </c>
      <c r="AY1196" s="9">
        <v>30</v>
      </c>
      <c r="AZ1196" s="9">
        <v>28</v>
      </c>
    </row>
    <row r="1197" spans="2:52">
      <c r="B1197" t="str">
        <f t="shared" si="90"/>
        <v>Aug</v>
      </c>
      <c r="C1197" s="43">
        <f t="shared" si="91"/>
        <v>46264</v>
      </c>
      <c r="D1197" s="44">
        <f t="shared" si="92"/>
        <v>46262</v>
      </c>
      <c r="E1197" s="9" t="s">
        <v>41</v>
      </c>
      <c r="F1197">
        <f t="shared" si="93"/>
        <v>0</v>
      </c>
      <c r="G1197">
        <f t="shared" si="94"/>
        <v>66</v>
      </c>
      <c r="AJ1197" s="40">
        <v>46262</v>
      </c>
      <c r="AK1197" s="9" t="s">
        <v>41</v>
      </c>
      <c r="AL1197" s="9" t="s">
        <v>41</v>
      </c>
      <c r="AM1197" s="9"/>
      <c r="AN1197" s="9">
        <v>0</v>
      </c>
      <c r="AO1197" s="9">
        <v>0</v>
      </c>
      <c r="AP1197" s="9">
        <v>1</v>
      </c>
      <c r="AQ1197" s="9">
        <v>3</v>
      </c>
      <c r="AR1197" s="9">
        <v>2</v>
      </c>
      <c r="AS1197" s="9">
        <v>0</v>
      </c>
      <c r="AT1197" s="9">
        <v>61</v>
      </c>
      <c r="AU1197" s="9">
        <v>87</v>
      </c>
      <c r="AV1197" s="9">
        <v>137</v>
      </c>
      <c r="AW1197" s="9">
        <v>133</v>
      </c>
      <c r="AX1197" s="9">
        <v>134</v>
      </c>
      <c r="AY1197" s="9">
        <v>138</v>
      </c>
      <c r="AZ1197" s="9">
        <v>142</v>
      </c>
    </row>
    <row r="1198" spans="2:52">
      <c r="B1198" t="str">
        <f t="shared" si="90"/>
        <v>Aug</v>
      </c>
      <c r="C1198" s="43">
        <f t="shared" si="91"/>
        <v>46264</v>
      </c>
      <c r="D1198" s="44">
        <f t="shared" si="92"/>
        <v>46262</v>
      </c>
      <c r="E1198" s="9" t="s">
        <v>45</v>
      </c>
      <c r="F1198">
        <f t="shared" si="93"/>
        <v>0</v>
      </c>
      <c r="G1198">
        <f t="shared" si="94"/>
        <v>-26</v>
      </c>
      <c r="AJ1198" s="40">
        <v>46262</v>
      </c>
      <c r="AK1198" s="9" t="s">
        <v>202</v>
      </c>
      <c r="AL1198" s="9" t="s">
        <v>45</v>
      </c>
      <c r="AM1198" s="9"/>
      <c r="AN1198" s="9">
        <v>55</v>
      </c>
      <c r="AO1198" s="9">
        <v>31</v>
      </c>
      <c r="AP1198" s="9">
        <v>29</v>
      </c>
      <c r="AQ1198" s="9">
        <v>34</v>
      </c>
      <c r="AR1198" s="9">
        <v>30</v>
      </c>
      <c r="AS1198" s="9">
        <v>33</v>
      </c>
      <c r="AT1198" s="9">
        <v>29</v>
      </c>
      <c r="AU1198" s="9">
        <v>24</v>
      </c>
      <c r="AV1198" s="9">
        <v>41</v>
      </c>
      <c r="AW1198" s="9">
        <v>47</v>
      </c>
      <c r="AX1198" s="9">
        <v>0</v>
      </c>
      <c r="AY1198" s="9">
        <v>0</v>
      </c>
      <c r="AZ1198" s="9">
        <v>6</v>
      </c>
    </row>
    <row r="1199" spans="2:52">
      <c r="B1199" t="str">
        <f t="shared" si="90"/>
        <v>Aug</v>
      </c>
      <c r="C1199" s="43">
        <f t="shared" si="91"/>
        <v>46264</v>
      </c>
      <c r="D1199" s="44">
        <f t="shared" si="92"/>
        <v>46262</v>
      </c>
      <c r="E1199" s="9" t="s">
        <v>46</v>
      </c>
      <c r="F1199">
        <f t="shared" si="93"/>
        <v>0</v>
      </c>
      <c r="G1199">
        <f t="shared" si="94"/>
        <v>-1</v>
      </c>
      <c r="AJ1199" s="40">
        <v>46262</v>
      </c>
      <c r="AK1199" s="9" t="s">
        <v>202</v>
      </c>
      <c r="AL1199" s="9" t="s">
        <v>46</v>
      </c>
      <c r="AM1199" s="9"/>
      <c r="AN1199" s="9">
        <v>27</v>
      </c>
      <c r="AO1199" s="9">
        <v>27</v>
      </c>
      <c r="AP1199" s="9">
        <v>32</v>
      </c>
      <c r="AQ1199" s="9">
        <v>35</v>
      </c>
      <c r="AR1199" s="9">
        <v>38</v>
      </c>
      <c r="AS1199" s="9">
        <v>38</v>
      </c>
      <c r="AT1199" s="9">
        <v>34</v>
      </c>
      <c r="AU1199" s="9">
        <v>35</v>
      </c>
      <c r="AV1199" s="9">
        <v>0</v>
      </c>
      <c r="AW1199" s="9">
        <v>0</v>
      </c>
      <c r="AX1199" s="9">
        <v>5</v>
      </c>
      <c r="AY1199" s="9">
        <v>3</v>
      </c>
      <c r="AZ1199" s="9">
        <v>0</v>
      </c>
    </row>
    <row r="1200" spans="2:52">
      <c r="B1200" t="str">
        <f t="shared" si="90"/>
        <v>Aug</v>
      </c>
      <c r="C1200" s="43">
        <f t="shared" si="91"/>
        <v>46264</v>
      </c>
      <c r="D1200" s="44">
        <f t="shared" si="92"/>
        <v>46262</v>
      </c>
      <c r="E1200" s="9" t="s">
        <v>47</v>
      </c>
      <c r="F1200">
        <f t="shared" si="93"/>
        <v>0</v>
      </c>
      <c r="G1200">
        <f t="shared" si="94"/>
        <v>13</v>
      </c>
      <c r="AJ1200" s="40">
        <v>46262</v>
      </c>
      <c r="AK1200" s="9" t="s">
        <v>202</v>
      </c>
      <c r="AL1200" s="9" t="s">
        <v>47</v>
      </c>
      <c r="AM1200" s="9"/>
      <c r="AN1200" s="9">
        <v>11</v>
      </c>
      <c r="AO1200" s="9">
        <v>7</v>
      </c>
      <c r="AP1200" s="9">
        <v>0</v>
      </c>
      <c r="AQ1200" s="9">
        <v>3</v>
      </c>
      <c r="AR1200" s="9">
        <v>1</v>
      </c>
      <c r="AS1200" s="9">
        <v>2</v>
      </c>
      <c r="AT1200" s="9">
        <v>1</v>
      </c>
      <c r="AU1200" s="9">
        <v>4</v>
      </c>
      <c r="AV1200" s="9">
        <v>7</v>
      </c>
      <c r="AW1200" s="9">
        <v>5</v>
      </c>
      <c r="AX1200" s="9">
        <v>0</v>
      </c>
      <c r="AY1200" s="9">
        <v>8</v>
      </c>
      <c r="AZ1200" s="9">
        <v>13</v>
      </c>
    </row>
    <row r="1201" spans="2:52">
      <c r="B1201" t="str">
        <f t="shared" si="90"/>
        <v>Aug</v>
      </c>
      <c r="C1201" s="43">
        <f t="shared" si="91"/>
        <v>46264</v>
      </c>
      <c r="D1201" s="44">
        <f t="shared" si="92"/>
        <v>46262</v>
      </c>
      <c r="E1201" s="9" t="s">
        <v>206</v>
      </c>
      <c r="F1201">
        <f t="shared" si="93"/>
        <v>0</v>
      </c>
      <c r="G1201">
        <f t="shared" si="94"/>
        <v>221</v>
      </c>
      <c r="AJ1201" s="40">
        <v>46262</v>
      </c>
      <c r="AK1201" s="9" t="s">
        <v>43</v>
      </c>
      <c r="AL1201" s="9" t="s">
        <v>206</v>
      </c>
      <c r="AM1201" s="9"/>
      <c r="AN1201" s="9">
        <v>57</v>
      </c>
      <c r="AO1201" s="9">
        <v>31</v>
      </c>
      <c r="AP1201" s="9">
        <v>33</v>
      </c>
      <c r="AQ1201" s="9">
        <v>35</v>
      </c>
      <c r="AR1201" s="9">
        <v>38</v>
      </c>
      <c r="AS1201" s="9">
        <v>6</v>
      </c>
      <c r="AT1201" s="9">
        <v>16</v>
      </c>
      <c r="AU1201" s="9">
        <v>126</v>
      </c>
      <c r="AV1201" s="9">
        <v>128</v>
      </c>
      <c r="AW1201" s="9">
        <v>134</v>
      </c>
      <c r="AX1201" s="9">
        <v>129</v>
      </c>
      <c r="AY1201" s="9">
        <v>223</v>
      </c>
      <c r="AZ1201" s="9">
        <v>226</v>
      </c>
    </row>
    <row r="1202" spans="2:52">
      <c r="B1202" t="str">
        <f t="shared" si="90"/>
        <v>Aug</v>
      </c>
      <c r="C1202" s="43">
        <f t="shared" si="91"/>
        <v>46264</v>
      </c>
      <c r="D1202" s="44">
        <f t="shared" si="92"/>
        <v>46262</v>
      </c>
      <c r="E1202" s="9" t="s">
        <v>207</v>
      </c>
      <c r="F1202">
        <f t="shared" si="93"/>
        <v>0</v>
      </c>
      <c r="G1202">
        <f t="shared" si="94"/>
        <v>48</v>
      </c>
      <c r="AJ1202" s="40">
        <v>46262</v>
      </c>
      <c r="AK1202" s="9" t="s">
        <v>203</v>
      </c>
      <c r="AL1202" s="9" t="s">
        <v>207</v>
      </c>
      <c r="AM1202" s="9"/>
      <c r="AN1202" s="9">
        <v>61</v>
      </c>
      <c r="AO1202" s="9">
        <v>61</v>
      </c>
      <c r="AP1202" s="9">
        <v>0</v>
      </c>
      <c r="AQ1202" s="9">
        <v>23</v>
      </c>
      <c r="AR1202" s="9">
        <v>23</v>
      </c>
      <c r="AS1202" s="9">
        <v>23</v>
      </c>
      <c r="AT1202" s="9">
        <v>23</v>
      </c>
      <c r="AU1202" s="9">
        <v>0</v>
      </c>
      <c r="AV1202" s="9">
        <v>0</v>
      </c>
      <c r="AW1202" s="9">
        <v>16</v>
      </c>
      <c r="AX1202" s="9">
        <v>73</v>
      </c>
      <c r="AY1202" s="9">
        <v>66</v>
      </c>
      <c r="AZ1202" s="9">
        <v>60</v>
      </c>
    </row>
    <row r="1203" spans="2:52">
      <c r="B1203" t="str">
        <f t="shared" si="90"/>
        <v>Aug</v>
      </c>
      <c r="C1203" s="43">
        <f t="shared" si="91"/>
        <v>46264</v>
      </c>
      <c r="D1203" s="44">
        <f t="shared" si="92"/>
        <v>46262</v>
      </c>
      <c r="E1203" s="9" t="s">
        <v>42</v>
      </c>
      <c r="F1203">
        <f t="shared" si="93"/>
        <v>0</v>
      </c>
      <c r="G1203">
        <f t="shared" si="94"/>
        <v>0</v>
      </c>
      <c r="AJ1203" s="40">
        <v>46262</v>
      </c>
      <c r="AK1203" s="9" t="s">
        <v>42</v>
      </c>
      <c r="AL1203" s="9" t="s">
        <v>42</v>
      </c>
      <c r="AM1203" s="9"/>
      <c r="AN1203" s="9">
        <v>23</v>
      </c>
      <c r="AO1203" s="9">
        <v>21</v>
      </c>
      <c r="AP1203" s="9">
        <v>23</v>
      </c>
      <c r="AQ1203" s="9">
        <v>0</v>
      </c>
      <c r="AR1203" s="9">
        <v>0</v>
      </c>
      <c r="AS1203" s="9">
        <v>2</v>
      </c>
      <c r="AT1203" s="9">
        <v>52</v>
      </c>
      <c r="AU1203" s="9">
        <v>47</v>
      </c>
      <c r="AV1203" s="9">
        <v>42</v>
      </c>
      <c r="AW1203" s="9">
        <v>38</v>
      </c>
      <c r="AX1203" s="9">
        <v>44</v>
      </c>
      <c r="AY1203" s="9">
        <v>45</v>
      </c>
      <c r="AZ1203" s="9">
        <v>0</v>
      </c>
    </row>
    <row r="1204" spans="2:52">
      <c r="B1204" t="str">
        <f t="shared" si="90"/>
        <v>Aug</v>
      </c>
      <c r="C1204" s="43">
        <f t="shared" si="91"/>
        <v>46264</v>
      </c>
      <c r="D1204" s="44">
        <f t="shared" si="92"/>
        <v>46263</v>
      </c>
      <c r="E1204" s="9" t="s">
        <v>31</v>
      </c>
      <c r="F1204">
        <f t="shared" si="93"/>
        <v>0</v>
      </c>
      <c r="G1204">
        <f t="shared" si="94"/>
        <v>90</v>
      </c>
      <c r="AJ1204" s="40">
        <v>46263</v>
      </c>
      <c r="AK1204" s="9" t="s">
        <v>204</v>
      </c>
      <c r="AL1204" s="9" t="s">
        <v>31</v>
      </c>
      <c r="AM1204" s="9"/>
      <c r="AN1204" s="9">
        <v>114</v>
      </c>
      <c r="AO1204" s="9">
        <v>120</v>
      </c>
      <c r="AP1204" s="9">
        <v>129</v>
      </c>
      <c r="AQ1204" s="9">
        <v>130</v>
      </c>
      <c r="AR1204" s="9">
        <v>126</v>
      </c>
      <c r="AS1204" s="9">
        <v>119</v>
      </c>
      <c r="AT1204" s="9">
        <v>146</v>
      </c>
      <c r="AU1204" s="9">
        <v>167</v>
      </c>
      <c r="AV1204" s="9">
        <v>164</v>
      </c>
      <c r="AW1204" s="9">
        <v>0</v>
      </c>
      <c r="AX1204" s="9">
        <v>63</v>
      </c>
      <c r="AY1204" s="9">
        <v>51</v>
      </c>
      <c r="AZ1204" s="9">
        <v>90</v>
      </c>
    </row>
    <row r="1205" spans="2:52">
      <c r="B1205" t="str">
        <f t="shared" si="90"/>
        <v>Aug</v>
      </c>
      <c r="C1205" s="43">
        <f t="shared" si="91"/>
        <v>46264</v>
      </c>
      <c r="D1205" s="44">
        <f t="shared" si="92"/>
        <v>46263</v>
      </c>
      <c r="E1205" s="9" t="s">
        <v>39</v>
      </c>
      <c r="F1205">
        <f t="shared" si="93"/>
        <v>0</v>
      </c>
      <c r="G1205">
        <f t="shared" si="94"/>
        <v>-32</v>
      </c>
      <c r="AJ1205" s="40">
        <v>46263</v>
      </c>
      <c r="AK1205" s="9" t="s">
        <v>205</v>
      </c>
      <c r="AL1205" s="9" t="s">
        <v>39</v>
      </c>
      <c r="AM1205" s="9"/>
      <c r="AN1205" s="9">
        <v>96</v>
      </c>
      <c r="AO1205" s="9">
        <v>0</v>
      </c>
      <c r="AP1205" s="9">
        <v>48</v>
      </c>
      <c r="AQ1205" s="9">
        <v>11</v>
      </c>
      <c r="AR1205" s="9">
        <v>1</v>
      </c>
      <c r="AS1205" s="9">
        <v>0</v>
      </c>
      <c r="AT1205" s="9">
        <v>17</v>
      </c>
      <c r="AU1205" s="9">
        <v>5</v>
      </c>
      <c r="AV1205" s="9">
        <v>19</v>
      </c>
      <c r="AW1205" s="9">
        <v>16</v>
      </c>
      <c r="AX1205" s="9">
        <v>6</v>
      </c>
      <c r="AY1205" s="9">
        <v>1</v>
      </c>
      <c r="AZ1205" s="9">
        <v>0</v>
      </c>
    </row>
    <row r="1206" spans="2:52">
      <c r="B1206" t="str">
        <f t="shared" si="90"/>
        <v>Aug</v>
      </c>
      <c r="C1206" s="43">
        <f t="shared" si="91"/>
        <v>46264</v>
      </c>
      <c r="D1206" s="44">
        <f t="shared" si="92"/>
        <v>46263</v>
      </c>
      <c r="E1206" s="9" t="s">
        <v>40</v>
      </c>
      <c r="F1206">
        <f t="shared" si="93"/>
        <v>0</v>
      </c>
      <c r="G1206">
        <f t="shared" si="94"/>
        <v>79</v>
      </c>
      <c r="AJ1206" s="40">
        <v>46263</v>
      </c>
      <c r="AK1206" s="9" t="s">
        <v>205</v>
      </c>
      <c r="AL1206" s="9" t="s">
        <v>40</v>
      </c>
      <c r="AM1206" s="9"/>
      <c r="AN1206" s="9">
        <v>24</v>
      </c>
      <c r="AO1206" s="9">
        <v>33</v>
      </c>
      <c r="AP1206" s="9">
        <v>62</v>
      </c>
      <c r="AQ1206" s="9">
        <v>65</v>
      </c>
      <c r="AR1206" s="9">
        <v>61</v>
      </c>
      <c r="AS1206" s="9">
        <v>68</v>
      </c>
      <c r="AT1206" s="9">
        <v>134</v>
      </c>
      <c r="AU1206" s="9">
        <v>124</v>
      </c>
      <c r="AV1206" s="9">
        <v>123</v>
      </c>
      <c r="AW1206" s="9">
        <v>127</v>
      </c>
      <c r="AX1206" s="9">
        <v>122</v>
      </c>
      <c r="AY1206" s="9">
        <v>117</v>
      </c>
      <c r="AZ1206" s="9">
        <v>107</v>
      </c>
    </row>
    <row r="1207" spans="2:52">
      <c r="B1207" t="str">
        <f t="shared" si="90"/>
        <v>Aug</v>
      </c>
      <c r="C1207" s="43">
        <f t="shared" si="91"/>
        <v>46264</v>
      </c>
      <c r="D1207" s="44">
        <f t="shared" si="92"/>
        <v>46263</v>
      </c>
      <c r="E1207" s="9" t="s">
        <v>41</v>
      </c>
      <c r="F1207">
        <f t="shared" si="93"/>
        <v>0</v>
      </c>
      <c r="G1207">
        <f t="shared" si="94"/>
        <v>-123</v>
      </c>
      <c r="AJ1207" s="40">
        <v>46263</v>
      </c>
      <c r="AK1207" s="9" t="s">
        <v>41</v>
      </c>
      <c r="AL1207" s="9" t="s">
        <v>41</v>
      </c>
      <c r="AM1207" s="9"/>
      <c r="AN1207" s="9">
        <v>27</v>
      </c>
      <c r="AO1207" s="9">
        <v>64</v>
      </c>
      <c r="AP1207" s="9">
        <v>112</v>
      </c>
      <c r="AQ1207" s="9">
        <v>114</v>
      </c>
      <c r="AR1207" s="9">
        <v>110</v>
      </c>
      <c r="AS1207" s="9">
        <v>107</v>
      </c>
      <c r="AT1207" s="9">
        <v>0</v>
      </c>
      <c r="AU1207" s="9">
        <v>6</v>
      </c>
      <c r="AV1207" s="9">
        <v>11</v>
      </c>
      <c r="AW1207" s="9">
        <v>43</v>
      </c>
      <c r="AX1207" s="9">
        <v>45</v>
      </c>
      <c r="AY1207" s="9">
        <v>19</v>
      </c>
      <c r="AZ1207" s="9">
        <v>19</v>
      </c>
    </row>
    <row r="1208" spans="2:52">
      <c r="B1208" t="str">
        <f t="shared" si="90"/>
        <v>Aug</v>
      </c>
      <c r="C1208" s="43">
        <f t="shared" si="91"/>
        <v>46264</v>
      </c>
      <c r="D1208" s="44">
        <f t="shared" si="92"/>
        <v>46263</v>
      </c>
      <c r="E1208" s="9" t="s">
        <v>45</v>
      </c>
      <c r="F1208">
        <f t="shared" si="93"/>
        <v>0</v>
      </c>
      <c r="G1208">
        <f t="shared" si="94"/>
        <v>29</v>
      </c>
      <c r="AJ1208" s="40">
        <v>46263</v>
      </c>
      <c r="AK1208" s="9" t="s">
        <v>202</v>
      </c>
      <c r="AL1208" s="9" t="s">
        <v>45</v>
      </c>
      <c r="AM1208" s="9"/>
      <c r="AN1208" s="9">
        <v>27</v>
      </c>
      <c r="AO1208" s="9">
        <v>13</v>
      </c>
      <c r="AP1208" s="9">
        <v>0</v>
      </c>
      <c r="AQ1208" s="9">
        <v>29</v>
      </c>
      <c r="AR1208" s="9">
        <v>27</v>
      </c>
      <c r="AS1208" s="9">
        <v>26</v>
      </c>
      <c r="AT1208" s="9">
        <v>23</v>
      </c>
      <c r="AU1208" s="9">
        <v>25</v>
      </c>
      <c r="AV1208" s="9">
        <v>32</v>
      </c>
      <c r="AW1208" s="9">
        <v>38</v>
      </c>
      <c r="AX1208" s="9">
        <v>33</v>
      </c>
      <c r="AY1208" s="9">
        <v>36</v>
      </c>
      <c r="AZ1208" s="9">
        <v>35</v>
      </c>
    </row>
    <row r="1209" spans="2:52">
      <c r="B1209" t="str">
        <f t="shared" si="90"/>
        <v>Aug</v>
      </c>
      <c r="C1209" s="43">
        <f t="shared" si="91"/>
        <v>46264</v>
      </c>
      <c r="D1209" s="44">
        <f t="shared" si="92"/>
        <v>46263</v>
      </c>
      <c r="E1209" s="9" t="s">
        <v>46</v>
      </c>
      <c r="F1209">
        <f t="shared" si="93"/>
        <v>0</v>
      </c>
      <c r="G1209">
        <f t="shared" si="94"/>
        <v>20</v>
      </c>
      <c r="AJ1209" s="40">
        <v>46263</v>
      </c>
      <c r="AK1209" s="9" t="s">
        <v>202</v>
      </c>
      <c r="AL1209" s="9" t="s">
        <v>46</v>
      </c>
      <c r="AM1209" s="9"/>
      <c r="AN1209" s="9">
        <v>0</v>
      </c>
      <c r="AO1209" s="9">
        <v>0</v>
      </c>
      <c r="AP1209" s="9">
        <v>2</v>
      </c>
      <c r="AQ1209" s="9">
        <v>0</v>
      </c>
      <c r="AR1209" s="9">
        <v>14</v>
      </c>
      <c r="AS1209" s="9">
        <v>16</v>
      </c>
      <c r="AT1209" s="9">
        <v>12</v>
      </c>
      <c r="AU1209" s="9">
        <v>0</v>
      </c>
      <c r="AV1209" s="9">
        <v>14</v>
      </c>
      <c r="AW1209" s="9">
        <v>18</v>
      </c>
      <c r="AX1209" s="9">
        <v>19</v>
      </c>
      <c r="AY1209" s="9">
        <v>20</v>
      </c>
      <c r="AZ1209" s="9">
        <v>20</v>
      </c>
    </row>
    <row r="1210" spans="2:52">
      <c r="B1210" t="str">
        <f t="shared" si="90"/>
        <v>Aug</v>
      </c>
      <c r="C1210" s="43">
        <f t="shared" si="91"/>
        <v>46264</v>
      </c>
      <c r="D1210" s="44">
        <f t="shared" si="92"/>
        <v>46263</v>
      </c>
      <c r="E1210" s="9" t="s">
        <v>47</v>
      </c>
      <c r="F1210">
        <f t="shared" si="93"/>
        <v>0</v>
      </c>
      <c r="G1210">
        <f t="shared" si="94"/>
        <v>33</v>
      </c>
      <c r="AJ1210" s="40">
        <v>46263</v>
      </c>
      <c r="AK1210" s="9" t="s">
        <v>202</v>
      </c>
      <c r="AL1210" s="9" t="s">
        <v>47</v>
      </c>
      <c r="AM1210" s="9"/>
      <c r="AN1210" s="9">
        <v>0</v>
      </c>
      <c r="AO1210" s="9">
        <v>7</v>
      </c>
      <c r="AP1210" s="9">
        <v>5</v>
      </c>
      <c r="AQ1210" s="9">
        <v>1</v>
      </c>
      <c r="AR1210" s="9">
        <v>0</v>
      </c>
      <c r="AS1210" s="9">
        <v>16</v>
      </c>
      <c r="AT1210" s="9">
        <v>18</v>
      </c>
      <c r="AU1210" s="9">
        <v>0</v>
      </c>
      <c r="AV1210" s="9">
        <v>6</v>
      </c>
      <c r="AW1210" s="9">
        <v>10</v>
      </c>
      <c r="AX1210" s="9">
        <v>14</v>
      </c>
      <c r="AY1210" s="9">
        <v>16</v>
      </c>
      <c r="AZ1210" s="9">
        <v>46</v>
      </c>
    </row>
    <row r="1211" spans="2:52">
      <c r="B1211" t="str">
        <f t="shared" si="90"/>
        <v>Aug</v>
      </c>
      <c r="C1211" s="43">
        <f t="shared" si="91"/>
        <v>46264</v>
      </c>
      <c r="D1211" s="44">
        <f t="shared" si="92"/>
        <v>46263</v>
      </c>
      <c r="E1211" s="9" t="s">
        <v>206</v>
      </c>
      <c r="F1211">
        <f t="shared" si="93"/>
        <v>0</v>
      </c>
      <c r="G1211">
        <f t="shared" si="94"/>
        <v>-161</v>
      </c>
      <c r="AJ1211" s="40">
        <v>46263</v>
      </c>
      <c r="AK1211" s="9" t="s">
        <v>43</v>
      </c>
      <c r="AL1211" s="9" t="s">
        <v>206</v>
      </c>
      <c r="AM1211" s="9"/>
      <c r="AN1211" s="9">
        <v>48</v>
      </c>
      <c r="AO1211" s="9">
        <v>52</v>
      </c>
      <c r="AP1211" s="9">
        <v>55</v>
      </c>
      <c r="AQ1211" s="9">
        <v>51</v>
      </c>
      <c r="AR1211" s="9">
        <v>50</v>
      </c>
      <c r="AS1211" s="9">
        <v>42</v>
      </c>
      <c r="AT1211" s="9">
        <v>45</v>
      </c>
      <c r="AU1211" s="9">
        <v>41</v>
      </c>
      <c r="AV1211" s="9">
        <v>74</v>
      </c>
      <c r="AW1211" s="9">
        <v>83</v>
      </c>
      <c r="AX1211" s="9">
        <v>76</v>
      </c>
      <c r="AY1211" s="9">
        <v>71</v>
      </c>
      <c r="AZ1211" s="9">
        <v>65</v>
      </c>
    </row>
    <row r="1212" spans="2:52">
      <c r="B1212" t="str">
        <f t="shared" si="90"/>
        <v>Aug</v>
      </c>
      <c r="C1212" s="43">
        <f t="shared" si="91"/>
        <v>46264</v>
      </c>
      <c r="D1212" s="44">
        <f t="shared" si="92"/>
        <v>46263</v>
      </c>
      <c r="E1212" s="9" t="s">
        <v>207</v>
      </c>
      <c r="F1212">
        <f t="shared" si="93"/>
        <v>0</v>
      </c>
      <c r="G1212">
        <f t="shared" si="94"/>
        <v>-37</v>
      </c>
      <c r="AJ1212" s="40">
        <v>46263</v>
      </c>
      <c r="AK1212" s="9" t="s">
        <v>203</v>
      </c>
      <c r="AL1212" s="9" t="s">
        <v>207</v>
      </c>
      <c r="AM1212" s="9"/>
      <c r="AN1212" s="9">
        <v>45</v>
      </c>
      <c r="AO1212" s="9">
        <v>51</v>
      </c>
      <c r="AP1212" s="9">
        <v>60</v>
      </c>
      <c r="AQ1212" s="9">
        <v>62</v>
      </c>
      <c r="AR1212" s="9">
        <v>0</v>
      </c>
      <c r="AS1212" s="9">
        <v>22</v>
      </c>
      <c r="AT1212" s="9">
        <v>27</v>
      </c>
      <c r="AU1212" s="9">
        <v>32</v>
      </c>
      <c r="AV1212" s="9">
        <v>27</v>
      </c>
      <c r="AW1212" s="9">
        <v>0</v>
      </c>
      <c r="AX1212" s="9">
        <v>20</v>
      </c>
      <c r="AY1212" s="9">
        <v>0</v>
      </c>
      <c r="AZ1212" s="9">
        <v>23</v>
      </c>
    </row>
    <row r="1213" spans="2:52">
      <c r="B1213" t="str">
        <f t="shared" si="90"/>
        <v>Aug</v>
      </c>
      <c r="C1213" s="43">
        <f t="shared" si="91"/>
        <v>46264</v>
      </c>
      <c r="D1213" s="44">
        <f t="shared" si="92"/>
        <v>46263</v>
      </c>
      <c r="E1213" s="9" t="s">
        <v>42</v>
      </c>
      <c r="F1213">
        <f t="shared" si="93"/>
        <v>0</v>
      </c>
      <c r="G1213">
        <f t="shared" si="94"/>
        <v>68</v>
      </c>
      <c r="AJ1213" s="40">
        <v>46263</v>
      </c>
      <c r="AK1213" s="9" t="s">
        <v>42</v>
      </c>
      <c r="AL1213" s="9" t="s">
        <v>42</v>
      </c>
      <c r="AM1213" s="9"/>
      <c r="AN1213" s="9">
        <v>26</v>
      </c>
      <c r="AO1213" s="9">
        <v>20</v>
      </c>
      <c r="AP1213" s="9">
        <v>21</v>
      </c>
      <c r="AQ1213" s="9">
        <v>0</v>
      </c>
      <c r="AR1213" s="9">
        <v>18</v>
      </c>
      <c r="AS1213" s="9">
        <v>20</v>
      </c>
      <c r="AT1213" s="9">
        <v>20</v>
      </c>
      <c r="AU1213" s="9">
        <v>26</v>
      </c>
      <c r="AV1213" s="9">
        <v>22</v>
      </c>
      <c r="AW1213" s="9">
        <v>23</v>
      </c>
      <c r="AX1213" s="9">
        <v>28</v>
      </c>
      <c r="AY1213" s="9">
        <v>33</v>
      </c>
      <c r="AZ1213" s="9">
        <v>68</v>
      </c>
    </row>
    <row r="1214" spans="2:52">
      <c r="B1214" t="str">
        <f t="shared" si="90"/>
        <v>Sep</v>
      </c>
      <c r="C1214" s="43">
        <f t="shared" si="91"/>
        <v>46271</v>
      </c>
      <c r="D1214" s="44">
        <f t="shared" si="92"/>
        <v>46264</v>
      </c>
      <c r="E1214" s="9" t="s">
        <v>31</v>
      </c>
      <c r="F1214">
        <f t="shared" si="93"/>
        <v>0</v>
      </c>
      <c r="G1214">
        <f t="shared" si="94"/>
        <v>-85</v>
      </c>
      <c r="AJ1214" s="40">
        <v>46264</v>
      </c>
      <c r="AK1214" s="9" t="s">
        <v>204</v>
      </c>
      <c r="AL1214" s="9" t="s">
        <v>31</v>
      </c>
      <c r="AM1214" s="9"/>
      <c r="AN1214" s="9">
        <v>0</v>
      </c>
      <c r="AO1214" s="9">
        <v>0</v>
      </c>
      <c r="AP1214" s="9">
        <v>21</v>
      </c>
      <c r="AQ1214" s="9">
        <v>41</v>
      </c>
      <c r="AR1214" s="9">
        <v>50</v>
      </c>
      <c r="AS1214" s="9">
        <v>60</v>
      </c>
      <c r="AT1214" s="9">
        <v>69</v>
      </c>
      <c r="AU1214" s="9">
        <v>78</v>
      </c>
      <c r="AV1214" s="9">
        <v>120</v>
      </c>
      <c r="AW1214" s="9">
        <v>102</v>
      </c>
      <c r="AX1214" s="9">
        <v>0</v>
      </c>
      <c r="AY1214" s="9">
        <v>43</v>
      </c>
      <c r="AZ1214" s="9">
        <v>5</v>
      </c>
    </row>
    <row r="1215" spans="2:52">
      <c r="B1215" t="str">
        <f t="shared" si="90"/>
        <v>Sep</v>
      </c>
      <c r="C1215" s="43">
        <f t="shared" si="91"/>
        <v>46271</v>
      </c>
      <c r="D1215" s="44">
        <f t="shared" si="92"/>
        <v>46264</v>
      </c>
      <c r="E1215" s="9" t="s">
        <v>39</v>
      </c>
      <c r="F1215">
        <f t="shared" si="93"/>
        <v>0</v>
      </c>
      <c r="G1215">
        <f t="shared" si="94"/>
        <v>29</v>
      </c>
      <c r="AJ1215" s="40">
        <v>46264</v>
      </c>
      <c r="AK1215" s="9" t="s">
        <v>205</v>
      </c>
      <c r="AL1215" s="9" t="s">
        <v>39</v>
      </c>
      <c r="AM1215" s="9"/>
      <c r="AN1215" s="9">
        <v>107</v>
      </c>
      <c r="AO1215" s="9">
        <v>121</v>
      </c>
      <c r="AP1215" s="9">
        <v>136</v>
      </c>
      <c r="AQ1215" s="9">
        <v>142</v>
      </c>
      <c r="AR1215" s="9">
        <v>141</v>
      </c>
      <c r="AS1215" s="9">
        <v>126</v>
      </c>
      <c r="AT1215" s="9">
        <v>144</v>
      </c>
      <c r="AU1215" s="9">
        <v>0</v>
      </c>
      <c r="AV1215" s="9">
        <v>21</v>
      </c>
      <c r="AW1215" s="9">
        <v>0</v>
      </c>
      <c r="AX1215" s="9">
        <v>0</v>
      </c>
      <c r="AY1215" s="9">
        <v>13</v>
      </c>
      <c r="AZ1215" s="9">
        <v>29</v>
      </c>
    </row>
    <row r="1216" spans="2:52">
      <c r="B1216" t="str">
        <f t="shared" si="90"/>
        <v>Sep</v>
      </c>
      <c r="C1216" s="43">
        <f t="shared" si="91"/>
        <v>46271</v>
      </c>
      <c r="D1216" s="44">
        <f t="shared" si="92"/>
        <v>46264</v>
      </c>
      <c r="E1216" s="9" t="s">
        <v>40</v>
      </c>
      <c r="F1216">
        <f t="shared" si="93"/>
        <v>0</v>
      </c>
      <c r="G1216">
        <f t="shared" si="94"/>
        <v>-102</v>
      </c>
      <c r="AJ1216" s="40">
        <v>46264</v>
      </c>
      <c r="AK1216" s="9" t="s">
        <v>205</v>
      </c>
      <c r="AL1216" s="9" t="s">
        <v>40</v>
      </c>
      <c r="AM1216" s="9"/>
      <c r="AN1216" s="9">
        <v>53</v>
      </c>
      <c r="AO1216" s="9">
        <v>65</v>
      </c>
      <c r="AP1216" s="9">
        <v>60</v>
      </c>
      <c r="AQ1216" s="9">
        <v>50</v>
      </c>
      <c r="AR1216" s="9">
        <v>62</v>
      </c>
      <c r="AS1216" s="9">
        <v>73</v>
      </c>
      <c r="AT1216" s="9">
        <v>56</v>
      </c>
      <c r="AU1216" s="9">
        <v>38</v>
      </c>
      <c r="AV1216" s="9">
        <v>74</v>
      </c>
      <c r="AW1216" s="9">
        <v>0</v>
      </c>
      <c r="AX1216" s="9">
        <v>0</v>
      </c>
      <c r="AY1216" s="9">
        <v>0</v>
      </c>
      <c r="AZ1216" s="9">
        <v>5</v>
      </c>
    </row>
    <row r="1217" spans="2:52">
      <c r="B1217" t="str">
        <f t="shared" si="90"/>
        <v>Sep</v>
      </c>
      <c r="C1217" s="43">
        <f t="shared" si="91"/>
        <v>46271</v>
      </c>
      <c r="D1217" s="44">
        <f t="shared" si="92"/>
        <v>46264</v>
      </c>
      <c r="E1217" s="9" t="s">
        <v>41</v>
      </c>
      <c r="F1217">
        <f t="shared" si="93"/>
        <v>0</v>
      </c>
      <c r="G1217">
        <f t="shared" si="94"/>
        <v>116</v>
      </c>
      <c r="AJ1217" s="40">
        <v>46264</v>
      </c>
      <c r="AK1217" s="9" t="s">
        <v>41</v>
      </c>
      <c r="AL1217" s="9" t="s">
        <v>41</v>
      </c>
      <c r="AM1217" s="9"/>
      <c r="AN1217" s="9">
        <v>10</v>
      </c>
      <c r="AO1217" s="9">
        <v>9</v>
      </c>
      <c r="AP1217" s="9">
        <v>8</v>
      </c>
      <c r="AQ1217" s="9">
        <v>13</v>
      </c>
      <c r="AR1217" s="9">
        <v>11</v>
      </c>
      <c r="AS1217" s="9">
        <v>12</v>
      </c>
      <c r="AT1217" s="9">
        <v>13</v>
      </c>
      <c r="AU1217" s="9">
        <v>15</v>
      </c>
      <c r="AV1217" s="9">
        <v>11</v>
      </c>
      <c r="AW1217" s="9">
        <v>11</v>
      </c>
      <c r="AX1217" s="9">
        <v>7</v>
      </c>
      <c r="AY1217" s="9">
        <v>12</v>
      </c>
      <c r="AZ1217" s="9">
        <v>135</v>
      </c>
    </row>
    <row r="1218" spans="2:52">
      <c r="B1218" t="str">
        <f t="shared" si="90"/>
        <v>Sep</v>
      </c>
      <c r="C1218" s="43">
        <f t="shared" si="91"/>
        <v>46271</v>
      </c>
      <c r="D1218" s="44">
        <f t="shared" si="92"/>
        <v>46264</v>
      </c>
      <c r="E1218" s="9" t="s">
        <v>45</v>
      </c>
      <c r="F1218">
        <f t="shared" si="93"/>
        <v>0</v>
      </c>
      <c r="G1218">
        <f t="shared" si="94"/>
        <v>1</v>
      </c>
      <c r="AJ1218" s="40">
        <v>46264</v>
      </c>
      <c r="AK1218" s="9" t="s">
        <v>202</v>
      </c>
      <c r="AL1218" s="9" t="s">
        <v>45</v>
      </c>
      <c r="AM1218" s="9"/>
      <c r="AN1218" s="9">
        <v>53</v>
      </c>
      <c r="AO1218" s="9">
        <v>63</v>
      </c>
      <c r="AP1218" s="9">
        <v>35</v>
      </c>
      <c r="AQ1218" s="9">
        <v>65</v>
      </c>
      <c r="AR1218" s="9">
        <v>0</v>
      </c>
      <c r="AS1218" s="9">
        <v>8</v>
      </c>
      <c r="AT1218" s="9">
        <v>12</v>
      </c>
      <c r="AU1218" s="9">
        <v>15</v>
      </c>
      <c r="AV1218" s="9">
        <v>8</v>
      </c>
      <c r="AW1218" s="9">
        <v>13</v>
      </c>
      <c r="AX1218" s="9">
        <v>37</v>
      </c>
      <c r="AY1218" s="9">
        <v>42</v>
      </c>
      <c r="AZ1218" s="9">
        <v>36</v>
      </c>
    </row>
    <row r="1219" spans="2:52">
      <c r="B1219" t="str">
        <f t="shared" si="90"/>
        <v>Sep</v>
      </c>
      <c r="C1219" s="43">
        <f t="shared" si="91"/>
        <v>46271</v>
      </c>
      <c r="D1219" s="44">
        <f t="shared" si="92"/>
        <v>46264</v>
      </c>
      <c r="E1219" s="9" t="s">
        <v>46</v>
      </c>
      <c r="F1219">
        <f t="shared" si="93"/>
        <v>0</v>
      </c>
      <c r="G1219">
        <f t="shared" si="94"/>
        <v>-4</v>
      </c>
      <c r="AJ1219" s="40">
        <v>46264</v>
      </c>
      <c r="AK1219" s="9" t="s">
        <v>202</v>
      </c>
      <c r="AL1219" s="9" t="s">
        <v>46</v>
      </c>
      <c r="AM1219" s="9"/>
      <c r="AN1219" s="9">
        <v>0</v>
      </c>
      <c r="AO1219" s="9">
        <v>0</v>
      </c>
      <c r="AP1219" s="9">
        <v>0</v>
      </c>
      <c r="AQ1219" s="9">
        <v>16</v>
      </c>
      <c r="AR1219" s="9">
        <v>12</v>
      </c>
      <c r="AS1219" s="9">
        <v>17</v>
      </c>
      <c r="AT1219" s="9">
        <v>18</v>
      </c>
      <c r="AU1219" s="9">
        <v>18</v>
      </c>
      <c r="AV1219" s="9">
        <v>19</v>
      </c>
      <c r="AW1219" s="9">
        <v>16</v>
      </c>
      <c r="AX1219" s="9">
        <v>0</v>
      </c>
      <c r="AY1219" s="9">
        <v>16</v>
      </c>
      <c r="AZ1219" s="9">
        <v>16</v>
      </c>
    </row>
    <row r="1220" spans="2:52">
      <c r="B1220" t="str">
        <f t="shared" si="90"/>
        <v>Sep</v>
      </c>
      <c r="C1220" s="43">
        <f t="shared" si="91"/>
        <v>46271</v>
      </c>
      <c r="D1220" s="44">
        <f t="shared" si="92"/>
        <v>46264</v>
      </c>
      <c r="E1220" s="9" t="s">
        <v>47</v>
      </c>
      <c r="F1220">
        <f t="shared" si="93"/>
        <v>0</v>
      </c>
      <c r="G1220">
        <f t="shared" si="94"/>
        <v>-40</v>
      </c>
      <c r="AJ1220" s="40">
        <v>46264</v>
      </c>
      <c r="AK1220" s="9" t="s">
        <v>202</v>
      </c>
      <c r="AL1220" s="9" t="s">
        <v>47</v>
      </c>
      <c r="AM1220" s="9"/>
      <c r="AN1220" s="9">
        <v>23</v>
      </c>
      <c r="AO1220" s="9">
        <v>0</v>
      </c>
      <c r="AP1220" s="9">
        <v>3</v>
      </c>
      <c r="AQ1220" s="9">
        <v>7</v>
      </c>
      <c r="AR1220" s="9">
        <v>0</v>
      </c>
      <c r="AS1220" s="9">
        <v>14</v>
      </c>
      <c r="AT1220" s="9">
        <v>0</v>
      </c>
      <c r="AU1220" s="9">
        <v>3</v>
      </c>
      <c r="AV1220" s="9">
        <v>3</v>
      </c>
      <c r="AW1220" s="9">
        <v>8</v>
      </c>
      <c r="AX1220" s="9">
        <v>9</v>
      </c>
      <c r="AY1220" s="9">
        <v>0</v>
      </c>
      <c r="AZ1220" s="9">
        <v>6</v>
      </c>
    </row>
    <row r="1221" spans="2:52">
      <c r="B1221" t="str">
        <f t="shared" ref="B1221:B1233" si="95">TEXT(C1221,"MMM")</f>
        <v>Sep</v>
      </c>
      <c r="C1221" s="43">
        <f t="shared" ref="C1221:C1233" si="96">AJ1221+(8-WEEKDAY(AJ1221))</f>
        <v>46271</v>
      </c>
      <c r="D1221" s="44">
        <f t="shared" ref="D1221:D1233" si="97">AJ1221</f>
        <v>46264</v>
      </c>
      <c r="E1221" s="9" t="s">
        <v>206</v>
      </c>
      <c r="F1221">
        <f t="shared" ref="F1221:F1233" si="98">IF(SUM(V1221:AI1221)&lt;=0,0,SUM(V1221:AI1221))</f>
        <v>0</v>
      </c>
      <c r="G1221">
        <f t="shared" si="94"/>
        <v>-14</v>
      </c>
      <c r="AJ1221" s="40">
        <v>46264</v>
      </c>
      <c r="AK1221" s="9" t="s">
        <v>43</v>
      </c>
      <c r="AL1221" s="9" t="s">
        <v>206</v>
      </c>
      <c r="AM1221" s="9"/>
      <c r="AN1221" s="9">
        <v>2</v>
      </c>
      <c r="AO1221" s="9">
        <v>37</v>
      </c>
      <c r="AP1221" s="9">
        <v>0</v>
      </c>
      <c r="AQ1221" s="9">
        <v>22</v>
      </c>
      <c r="AR1221" s="9">
        <v>29</v>
      </c>
      <c r="AS1221" s="9">
        <v>36</v>
      </c>
      <c r="AT1221" s="9">
        <v>31</v>
      </c>
      <c r="AU1221" s="9">
        <v>26</v>
      </c>
      <c r="AV1221" s="9">
        <v>28</v>
      </c>
      <c r="AW1221" s="9">
        <v>31</v>
      </c>
      <c r="AX1221" s="9">
        <v>36</v>
      </c>
      <c r="AY1221" s="9">
        <v>45</v>
      </c>
      <c r="AZ1221" s="9">
        <v>51</v>
      </c>
    </row>
    <row r="1222" spans="2:52">
      <c r="B1222" t="str">
        <f t="shared" si="95"/>
        <v>Sep</v>
      </c>
      <c r="C1222" s="43">
        <f t="shared" si="96"/>
        <v>46271</v>
      </c>
      <c r="D1222" s="44">
        <f t="shared" si="97"/>
        <v>46264</v>
      </c>
      <c r="E1222" s="9" t="s">
        <v>207</v>
      </c>
      <c r="F1222">
        <f t="shared" si="98"/>
        <v>0</v>
      </c>
      <c r="G1222">
        <f t="shared" si="94"/>
        <v>140</v>
      </c>
      <c r="AJ1222" s="40">
        <v>46264</v>
      </c>
      <c r="AK1222" s="9" t="s">
        <v>203</v>
      </c>
      <c r="AL1222" s="9" t="s">
        <v>207</v>
      </c>
      <c r="AM1222" s="9"/>
      <c r="AN1222" s="9">
        <v>49</v>
      </c>
      <c r="AO1222" s="9">
        <v>53</v>
      </c>
      <c r="AP1222" s="9">
        <v>56</v>
      </c>
      <c r="AQ1222" s="9">
        <v>64</v>
      </c>
      <c r="AR1222" s="9">
        <v>0</v>
      </c>
      <c r="AS1222" s="9">
        <v>0</v>
      </c>
      <c r="AT1222" s="9">
        <v>0</v>
      </c>
      <c r="AU1222" s="9">
        <v>0</v>
      </c>
      <c r="AV1222" s="9">
        <v>162</v>
      </c>
      <c r="AW1222" s="9">
        <v>156</v>
      </c>
      <c r="AX1222" s="9">
        <v>159</v>
      </c>
      <c r="AY1222" s="9">
        <v>154</v>
      </c>
      <c r="AZ1222" s="9">
        <v>163</v>
      </c>
    </row>
    <row r="1223" spans="2:52">
      <c r="B1223" t="str">
        <f t="shared" si="95"/>
        <v>Sep</v>
      </c>
      <c r="C1223" s="43">
        <f t="shared" si="96"/>
        <v>46271</v>
      </c>
      <c r="D1223" s="44">
        <f t="shared" si="97"/>
        <v>46264</v>
      </c>
      <c r="E1223" s="9" t="s">
        <v>42</v>
      </c>
      <c r="F1223">
        <f t="shared" si="98"/>
        <v>0</v>
      </c>
      <c r="G1223">
        <f t="shared" si="94"/>
        <v>-68</v>
      </c>
      <c r="AJ1223" s="40">
        <v>46264</v>
      </c>
      <c r="AK1223" s="9" t="s">
        <v>42</v>
      </c>
      <c r="AL1223" s="9" t="s">
        <v>42</v>
      </c>
      <c r="AM1223" s="9"/>
      <c r="AN1223" s="9">
        <v>0</v>
      </c>
      <c r="AO1223" s="9">
        <v>1</v>
      </c>
      <c r="AP1223" s="9">
        <v>8</v>
      </c>
      <c r="AQ1223" s="9">
        <v>2</v>
      </c>
      <c r="AR1223" s="9">
        <v>0</v>
      </c>
      <c r="AS1223" s="9">
        <v>0</v>
      </c>
      <c r="AT1223" s="9">
        <v>24</v>
      </c>
      <c r="AU1223" s="9">
        <v>0</v>
      </c>
      <c r="AV1223" s="9">
        <v>7</v>
      </c>
      <c r="AW1223" s="9">
        <v>9</v>
      </c>
      <c r="AX1223" s="9">
        <v>8</v>
      </c>
      <c r="AY1223" s="9">
        <v>11</v>
      </c>
      <c r="AZ1223" s="9">
        <v>0</v>
      </c>
    </row>
    <row r="1224" spans="2:52">
      <c r="B1224" t="str">
        <f t="shared" si="95"/>
        <v>Sep</v>
      </c>
      <c r="C1224" s="43">
        <f t="shared" si="96"/>
        <v>46271</v>
      </c>
      <c r="D1224" s="44">
        <f t="shared" si="97"/>
        <v>46265</v>
      </c>
      <c r="E1224" s="9" t="s">
        <v>31</v>
      </c>
      <c r="F1224">
        <f t="shared" si="98"/>
        <v>0</v>
      </c>
      <c r="G1224">
        <f t="shared" si="94"/>
        <v>127</v>
      </c>
      <c r="AJ1224" s="40">
        <v>46265</v>
      </c>
      <c r="AK1224" s="9" t="s">
        <v>204</v>
      </c>
      <c r="AL1224" s="9" t="s">
        <v>31</v>
      </c>
      <c r="AM1224" s="9"/>
      <c r="AN1224" s="9">
        <v>89</v>
      </c>
      <c r="AO1224" s="9">
        <v>108</v>
      </c>
      <c r="AP1224" s="9">
        <v>90</v>
      </c>
      <c r="AQ1224" s="9">
        <v>0</v>
      </c>
      <c r="AR1224" s="9">
        <v>0</v>
      </c>
      <c r="AS1224" s="9">
        <v>0</v>
      </c>
      <c r="AT1224" s="9">
        <v>55</v>
      </c>
      <c r="AU1224" s="9">
        <v>55</v>
      </c>
      <c r="AV1224" s="9">
        <v>75</v>
      </c>
      <c r="AW1224" s="9">
        <v>122</v>
      </c>
      <c r="AX1224" s="9">
        <v>133</v>
      </c>
      <c r="AY1224" s="9">
        <v>136</v>
      </c>
      <c r="AZ1224" s="9">
        <v>132</v>
      </c>
    </row>
    <row r="1225" spans="2:52">
      <c r="B1225" t="str">
        <f t="shared" si="95"/>
        <v>Sep</v>
      </c>
      <c r="C1225" s="43">
        <f t="shared" si="96"/>
        <v>46271</v>
      </c>
      <c r="D1225" s="44">
        <f t="shared" si="97"/>
        <v>46265</v>
      </c>
      <c r="E1225" s="9" t="s">
        <v>39</v>
      </c>
      <c r="F1225">
        <f t="shared" si="98"/>
        <v>0</v>
      </c>
      <c r="G1225">
        <f t="shared" si="94"/>
        <v>-29</v>
      </c>
      <c r="AJ1225" s="40">
        <v>46265</v>
      </c>
      <c r="AK1225" s="9" t="s">
        <v>205</v>
      </c>
      <c r="AL1225" s="9" t="s">
        <v>39</v>
      </c>
      <c r="AM1225" s="9"/>
      <c r="AN1225" s="9">
        <v>72</v>
      </c>
      <c r="AO1225" s="9">
        <v>57</v>
      </c>
      <c r="AP1225" s="9">
        <v>0</v>
      </c>
      <c r="AQ1225" s="9">
        <v>3</v>
      </c>
      <c r="AR1225" s="9">
        <v>5</v>
      </c>
      <c r="AS1225" s="9">
        <v>0</v>
      </c>
      <c r="AT1225" s="9">
        <v>20</v>
      </c>
      <c r="AU1225" s="9">
        <v>20</v>
      </c>
      <c r="AV1225" s="9">
        <v>60</v>
      </c>
      <c r="AW1225" s="9">
        <v>69</v>
      </c>
      <c r="AX1225" s="9">
        <v>82</v>
      </c>
      <c r="AY1225" s="9">
        <v>70</v>
      </c>
      <c r="AZ1225" s="9">
        <v>0</v>
      </c>
    </row>
    <row r="1226" spans="2:52">
      <c r="B1226" t="str">
        <f t="shared" si="95"/>
        <v>Sep</v>
      </c>
      <c r="C1226" s="43">
        <f t="shared" si="96"/>
        <v>46271</v>
      </c>
      <c r="D1226" s="44">
        <f t="shared" si="97"/>
        <v>46265</v>
      </c>
      <c r="E1226" s="9" t="s">
        <v>40</v>
      </c>
      <c r="F1226">
        <f t="shared" si="98"/>
        <v>0</v>
      </c>
      <c r="G1226">
        <f t="shared" si="94"/>
        <v>58</v>
      </c>
      <c r="AJ1226" s="40">
        <v>46265</v>
      </c>
      <c r="AK1226" s="9" t="s">
        <v>205</v>
      </c>
      <c r="AL1226" s="9" t="s">
        <v>40</v>
      </c>
      <c r="AM1226" s="9"/>
      <c r="AN1226" s="9">
        <v>57</v>
      </c>
      <c r="AO1226" s="9">
        <v>61</v>
      </c>
      <c r="AP1226" s="9">
        <v>58</v>
      </c>
      <c r="AQ1226" s="9">
        <v>66</v>
      </c>
      <c r="AR1226" s="9">
        <v>69</v>
      </c>
      <c r="AS1226" s="9">
        <v>59</v>
      </c>
      <c r="AT1226" s="9">
        <v>94</v>
      </c>
      <c r="AU1226" s="9">
        <v>0</v>
      </c>
      <c r="AV1226" s="9">
        <v>0</v>
      </c>
      <c r="AW1226" s="9">
        <v>38</v>
      </c>
      <c r="AX1226" s="9">
        <v>40</v>
      </c>
      <c r="AY1226" s="9">
        <v>45</v>
      </c>
      <c r="AZ1226" s="9">
        <v>63</v>
      </c>
    </row>
    <row r="1227" spans="2:52">
      <c r="B1227" t="str">
        <f t="shared" si="95"/>
        <v>Sep</v>
      </c>
      <c r="C1227" s="43">
        <f t="shared" si="96"/>
        <v>46271</v>
      </c>
      <c r="D1227" s="44">
        <f t="shared" si="97"/>
        <v>46265</v>
      </c>
      <c r="E1227" s="9" t="s">
        <v>41</v>
      </c>
      <c r="F1227">
        <f t="shared" si="98"/>
        <v>0</v>
      </c>
      <c r="G1227">
        <f t="shared" si="94"/>
        <v>-64</v>
      </c>
      <c r="AJ1227" s="40">
        <v>46265</v>
      </c>
      <c r="AK1227" s="9" t="s">
        <v>41</v>
      </c>
      <c r="AL1227" s="9" t="s">
        <v>41</v>
      </c>
      <c r="AM1227" s="9"/>
      <c r="AN1227" s="9">
        <v>40</v>
      </c>
      <c r="AO1227" s="9">
        <v>40</v>
      </c>
      <c r="AP1227" s="9">
        <v>76</v>
      </c>
      <c r="AQ1227" s="9">
        <v>0</v>
      </c>
      <c r="AR1227" s="9">
        <v>13</v>
      </c>
      <c r="AS1227" s="9">
        <v>12</v>
      </c>
      <c r="AT1227" s="9">
        <v>9</v>
      </c>
      <c r="AU1227" s="9">
        <v>10</v>
      </c>
      <c r="AV1227" s="9">
        <v>0</v>
      </c>
      <c r="AW1227" s="9">
        <v>17</v>
      </c>
      <c r="AX1227" s="9">
        <v>63</v>
      </c>
      <c r="AY1227" s="9">
        <v>68</v>
      </c>
      <c r="AZ1227" s="9">
        <v>71</v>
      </c>
    </row>
    <row r="1228" spans="2:52">
      <c r="B1228" t="str">
        <f t="shared" si="95"/>
        <v>Sep</v>
      </c>
      <c r="C1228" s="43">
        <f t="shared" si="96"/>
        <v>46271</v>
      </c>
      <c r="D1228" s="44">
        <f t="shared" si="97"/>
        <v>46265</v>
      </c>
      <c r="E1228" s="9" t="s">
        <v>45</v>
      </c>
      <c r="F1228">
        <f t="shared" si="98"/>
        <v>0</v>
      </c>
      <c r="G1228">
        <f t="shared" si="94"/>
        <v>-36</v>
      </c>
      <c r="AJ1228" s="40">
        <v>46265</v>
      </c>
      <c r="AK1228" s="9" t="s">
        <v>202</v>
      </c>
      <c r="AL1228" s="9" t="s">
        <v>45</v>
      </c>
      <c r="AM1228" s="9"/>
      <c r="AN1228" s="9">
        <v>34</v>
      </c>
      <c r="AO1228" s="9">
        <v>32</v>
      </c>
      <c r="AP1228" s="9">
        <v>0</v>
      </c>
      <c r="AQ1228" s="9">
        <v>0</v>
      </c>
      <c r="AR1228" s="9">
        <v>7</v>
      </c>
      <c r="AS1228" s="9">
        <v>3</v>
      </c>
      <c r="AT1228" s="9">
        <v>11</v>
      </c>
      <c r="AU1228" s="9">
        <v>0</v>
      </c>
      <c r="AV1228" s="9">
        <v>0</v>
      </c>
      <c r="AW1228" s="9">
        <v>6</v>
      </c>
      <c r="AX1228" s="9">
        <v>18</v>
      </c>
      <c r="AY1228" s="9">
        <v>23</v>
      </c>
      <c r="AZ1228" s="9">
        <v>0</v>
      </c>
    </row>
    <row r="1229" spans="2:52">
      <c r="B1229" t="str">
        <f t="shared" si="95"/>
        <v>Sep</v>
      </c>
      <c r="C1229" s="43">
        <f t="shared" si="96"/>
        <v>46271</v>
      </c>
      <c r="D1229" s="44">
        <f t="shared" si="97"/>
        <v>46265</v>
      </c>
      <c r="E1229" s="9" t="s">
        <v>46</v>
      </c>
      <c r="F1229">
        <f t="shared" si="98"/>
        <v>0</v>
      </c>
      <c r="G1229">
        <f t="shared" si="94"/>
        <v>-16</v>
      </c>
      <c r="AJ1229" s="40">
        <v>46265</v>
      </c>
      <c r="AK1229" s="9" t="s">
        <v>202</v>
      </c>
      <c r="AL1229" s="9" t="s">
        <v>46</v>
      </c>
      <c r="AM1229" s="9"/>
      <c r="AN1229" s="9">
        <v>34</v>
      </c>
      <c r="AO1229" s="9">
        <v>35</v>
      </c>
      <c r="AP1229" s="9">
        <v>93</v>
      </c>
      <c r="AQ1229" s="9">
        <v>0</v>
      </c>
      <c r="AR1229" s="9">
        <v>0</v>
      </c>
      <c r="AS1229" s="9">
        <v>8</v>
      </c>
      <c r="AT1229" s="9">
        <v>0</v>
      </c>
      <c r="AU1229" s="9">
        <v>4</v>
      </c>
      <c r="AV1229" s="9">
        <v>140</v>
      </c>
      <c r="AW1229" s="9">
        <v>162</v>
      </c>
      <c r="AX1229" s="9">
        <v>160</v>
      </c>
      <c r="AY1229" s="9">
        <v>160</v>
      </c>
      <c r="AZ1229" s="9">
        <v>0</v>
      </c>
    </row>
    <row r="1230" spans="2:52">
      <c r="B1230" t="str">
        <f t="shared" si="95"/>
        <v>Sep</v>
      </c>
      <c r="C1230" s="43">
        <f t="shared" si="96"/>
        <v>46271</v>
      </c>
      <c r="D1230" s="44">
        <f t="shared" si="97"/>
        <v>46265</v>
      </c>
      <c r="E1230" s="9" t="s">
        <v>47</v>
      </c>
      <c r="F1230">
        <f t="shared" si="98"/>
        <v>0</v>
      </c>
      <c r="G1230">
        <f t="shared" si="94"/>
        <v>1</v>
      </c>
      <c r="AJ1230" s="40">
        <v>46265</v>
      </c>
      <c r="AK1230" s="9" t="s">
        <v>202</v>
      </c>
      <c r="AL1230" s="9" t="s">
        <v>47</v>
      </c>
      <c r="AM1230" s="9"/>
      <c r="AN1230" s="9">
        <v>0</v>
      </c>
      <c r="AO1230" s="9">
        <v>4</v>
      </c>
      <c r="AP1230" s="9">
        <v>4</v>
      </c>
      <c r="AQ1230" s="9">
        <v>1</v>
      </c>
      <c r="AR1230" s="9">
        <v>0</v>
      </c>
      <c r="AS1230" s="9">
        <v>0</v>
      </c>
      <c r="AT1230" s="9">
        <v>5</v>
      </c>
      <c r="AU1230" s="9">
        <v>5</v>
      </c>
      <c r="AV1230" s="9">
        <v>7</v>
      </c>
      <c r="AW1230" s="9">
        <v>8</v>
      </c>
      <c r="AX1230" s="9">
        <v>0</v>
      </c>
      <c r="AY1230" s="9">
        <v>4</v>
      </c>
      <c r="AZ1230" s="9">
        <v>7</v>
      </c>
    </row>
    <row r="1231" spans="2:52">
      <c r="B1231" t="str">
        <f t="shared" si="95"/>
        <v>Sep</v>
      </c>
      <c r="C1231" s="43">
        <f t="shared" si="96"/>
        <v>46271</v>
      </c>
      <c r="D1231" s="44">
        <f t="shared" si="97"/>
        <v>46265</v>
      </c>
      <c r="E1231" s="9" t="s">
        <v>206</v>
      </c>
      <c r="F1231">
        <f t="shared" si="98"/>
        <v>0</v>
      </c>
      <c r="G1231">
        <f t="shared" ref="G1231:G1233" si="99">SUM(H1231:U1231)+AZ1231-AZ1221</f>
        <v>-35</v>
      </c>
      <c r="AJ1231" s="40">
        <v>46265</v>
      </c>
      <c r="AK1231" s="9" t="s">
        <v>43</v>
      </c>
      <c r="AL1231" s="9" t="s">
        <v>206</v>
      </c>
      <c r="AM1231" s="9"/>
      <c r="AN1231" s="9">
        <v>55</v>
      </c>
      <c r="AO1231" s="9">
        <v>36</v>
      </c>
      <c r="AP1231" s="9">
        <v>43</v>
      </c>
      <c r="AQ1231" s="9">
        <v>40</v>
      </c>
      <c r="AR1231" s="9">
        <v>38</v>
      </c>
      <c r="AS1231" s="9">
        <v>39</v>
      </c>
      <c r="AT1231" s="9">
        <v>32</v>
      </c>
      <c r="AU1231" s="9">
        <v>36</v>
      </c>
      <c r="AV1231" s="9">
        <v>41</v>
      </c>
      <c r="AW1231" s="9">
        <v>47</v>
      </c>
      <c r="AX1231" s="9">
        <v>29</v>
      </c>
      <c r="AY1231" s="9">
        <v>23</v>
      </c>
      <c r="AZ1231" s="9">
        <v>16</v>
      </c>
    </row>
    <row r="1232" spans="2:52">
      <c r="B1232" t="str">
        <f t="shared" si="95"/>
        <v>Sep</v>
      </c>
      <c r="C1232" s="43">
        <f t="shared" si="96"/>
        <v>46271</v>
      </c>
      <c r="D1232" s="44">
        <f t="shared" si="97"/>
        <v>46265</v>
      </c>
      <c r="E1232" s="9" t="s">
        <v>207</v>
      </c>
      <c r="F1232">
        <f t="shared" si="98"/>
        <v>0</v>
      </c>
      <c r="G1232">
        <f t="shared" si="99"/>
        <v>-163</v>
      </c>
      <c r="AJ1232" s="40">
        <v>46265</v>
      </c>
      <c r="AK1232" s="9" t="s">
        <v>203</v>
      </c>
      <c r="AL1232" s="9" t="s">
        <v>207</v>
      </c>
      <c r="AM1232" s="9"/>
      <c r="AN1232" s="9">
        <v>6</v>
      </c>
      <c r="AO1232" s="9">
        <v>12</v>
      </c>
      <c r="AP1232" s="9">
        <v>7</v>
      </c>
      <c r="AQ1232" s="9">
        <v>8</v>
      </c>
      <c r="AR1232" s="9">
        <v>11</v>
      </c>
      <c r="AS1232" s="9">
        <v>20</v>
      </c>
      <c r="AT1232" s="9">
        <v>24</v>
      </c>
      <c r="AU1232" s="9">
        <v>26</v>
      </c>
      <c r="AV1232" s="9">
        <v>18</v>
      </c>
      <c r="AW1232" s="9">
        <v>0</v>
      </c>
      <c r="AX1232" s="9">
        <v>32</v>
      </c>
      <c r="AY1232" s="9">
        <v>31</v>
      </c>
      <c r="AZ1232" s="9">
        <v>0</v>
      </c>
    </row>
    <row r="1233" spans="2:52">
      <c r="B1233" t="str">
        <f t="shared" si="95"/>
        <v>Sep</v>
      </c>
      <c r="C1233" s="43">
        <f t="shared" si="96"/>
        <v>46271</v>
      </c>
      <c r="D1233" s="44">
        <f t="shared" si="97"/>
        <v>46265</v>
      </c>
      <c r="E1233" s="9" t="s">
        <v>42</v>
      </c>
      <c r="F1233">
        <f t="shared" si="98"/>
        <v>0</v>
      </c>
      <c r="G1233">
        <f t="shared" si="99"/>
        <v>2</v>
      </c>
      <c r="AJ1233" s="40">
        <v>46265</v>
      </c>
      <c r="AK1233" s="9" t="s">
        <v>42</v>
      </c>
      <c r="AL1233" s="9" t="s">
        <v>42</v>
      </c>
      <c r="AM1233" s="9"/>
      <c r="AN1233" s="9">
        <v>36</v>
      </c>
      <c r="AO1233" s="9">
        <v>10</v>
      </c>
      <c r="AP1233" s="9">
        <v>0</v>
      </c>
      <c r="AQ1233" s="9">
        <v>4</v>
      </c>
      <c r="AR1233" s="9">
        <v>3</v>
      </c>
      <c r="AS1233" s="9">
        <v>0</v>
      </c>
      <c r="AT1233" s="9">
        <v>1</v>
      </c>
      <c r="AU1233" s="9">
        <v>0</v>
      </c>
      <c r="AV1233" s="9">
        <v>12</v>
      </c>
      <c r="AW1233" s="9">
        <v>10</v>
      </c>
      <c r="AX1233" s="9">
        <v>6</v>
      </c>
      <c r="AY1233" s="9">
        <v>0</v>
      </c>
      <c r="AZ1233" s="9">
        <v>2</v>
      </c>
    </row>
  </sheetData>
  <mergeCells count="2">
    <mergeCell ref="V2:AI2"/>
    <mergeCell ref="H2:U2"/>
  </mergeCells>
  <phoneticPr fontId="4"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EB65-05ED-4813-9534-497119DF63E8}">
  <dimension ref="A1:C1231"/>
  <sheetViews>
    <sheetView workbookViewId="0">
      <selection activeCell="C2" sqref="C2"/>
    </sheetView>
  </sheetViews>
  <sheetFormatPr defaultRowHeight="14.4"/>
  <cols>
    <col min="3" max="3" width="7.21875" bestFit="1" customWidth="1"/>
  </cols>
  <sheetData>
    <row r="1" spans="1:3">
      <c r="A1" t="s">
        <v>223</v>
      </c>
      <c r="C1" s="38" t="s">
        <v>199</v>
      </c>
    </row>
    <row r="2" spans="1:3">
      <c r="C2" s="40">
        <v>46143</v>
      </c>
    </row>
    <row r="3" spans="1:3">
      <c r="C3" s="40">
        <v>46143</v>
      </c>
    </row>
    <row r="4" spans="1:3">
      <c r="C4" s="40">
        <v>46143</v>
      </c>
    </row>
    <row r="5" spans="1:3">
      <c r="C5" s="40">
        <v>46143</v>
      </c>
    </row>
    <row r="6" spans="1:3">
      <c r="C6" s="40">
        <v>46143</v>
      </c>
    </row>
    <row r="7" spans="1:3">
      <c r="C7" s="40">
        <v>46143</v>
      </c>
    </row>
    <row r="8" spans="1:3">
      <c r="C8" s="40">
        <v>46143</v>
      </c>
    </row>
    <row r="9" spans="1:3">
      <c r="C9" s="40">
        <v>46143</v>
      </c>
    </row>
    <row r="10" spans="1:3">
      <c r="C10" s="40">
        <v>46143</v>
      </c>
    </row>
    <row r="11" spans="1:3">
      <c r="C11" s="40">
        <v>46143</v>
      </c>
    </row>
    <row r="12" spans="1:3">
      <c r="C12" s="40">
        <v>46144</v>
      </c>
    </row>
    <row r="13" spans="1:3">
      <c r="C13" s="40">
        <v>46144</v>
      </c>
    </row>
    <row r="14" spans="1:3">
      <c r="C14" s="40">
        <v>46144</v>
      </c>
    </row>
    <row r="15" spans="1:3">
      <c r="C15" s="40">
        <v>46144</v>
      </c>
    </row>
    <row r="16" spans="1:3">
      <c r="C16" s="40">
        <v>46144</v>
      </c>
    </row>
    <row r="17" spans="3:3">
      <c r="C17" s="40">
        <v>46144</v>
      </c>
    </row>
    <row r="18" spans="3:3">
      <c r="C18" s="40">
        <v>46144</v>
      </c>
    </row>
    <row r="19" spans="3:3">
      <c r="C19" s="40">
        <v>46144</v>
      </c>
    </row>
    <row r="20" spans="3:3">
      <c r="C20" s="40">
        <v>46144</v>
      </c>
    </row>
    <row r="21" spans="3:3">
      <c r="C21" s="40">
        <v>46144</v>
      </c>
    </row>
    <row r="22" spans="3:3">
      <c r="C22" s="40">
        <v>46145</v>
      </c>
    </row>
    <row r="23" spans="3:3">
      <c r="C23" s="40">
        <v>46145</v>
      </c>
    </row>
    <row r="24" spans="3:3">
      <c r="C24" s="40">
        <v>46145</v>
      </c>
    </row>
    <row r="25" spans="3:3">
      <c r="C25" s="40">
        <v>46145</v>
      </c>
    </row>
    <row r="26" spans="3:3">
      <c r="C26" s="40">
        <v>46145</v>
      </c>
    </row>
    <row r="27" spans="3:3">
      <c r="C27" s="40">
        <v>46145</v>
      </c>
    </row>
    <row r="28" spans="3:3">
      <c r="C28" s="40">
        <v>46145</v>
      </c>
    </row>
    <row r="29" spans="3:3">
      <c r="C29" s="40">
        <v>46145</v>
      </c>
    </row>
    <row r="30" spans="3:3">
      <c r="C30" s="40">
        <v>46145</v>
      </c>
    </row>
    <row r="31" spans="3:3">
      <c r="C31" s="40">
        <v>46145</v>
      </c>
    </row>
    <row r="32" spans="3:3">
      <c r="C32" s="40">
        <v>46146</v>
      </c>
    </row>
    <row r="33" spans="3:3">
      <c r="C33" s="40">
        <v>46146</v>
      </c>
    </row>
    <row r="34" spans="3:3">
      <c r="C34" s="40">
        <v>46146</v>
      </c>
    </row>
    <row r="35" spans="3:3">
      <c r="C35" s="40">
        <v>46146</v>
      </c>
    </row>
    <row r="36" spans="3:3">
      <c r="C36" s="40">
        <v>46146</v>
      </c>
    </row>
    <row r="37" spans="3:3">
      <c r="C37" s="40">
        <v>46146</v>
      </c>
    </row>
    <row r="38" spans="3:3">
      <c r="C38" s="40">
        <v>46146</v>
      </c>
    </row>
    <row r="39" spans="3:3">
      <c r="C39" s="40">
        <v>46146</v>
      </c>
    </row>
    <row r="40" spans="3:3">
      <c r="C40" s="40">
        <v>46146</v>
      </c>
    </row>
    <row r="41" spans="3:3">
      <c r="C41" s="40">
        <v>46146</v>
      </c>
    </row>
    <row r="42" spans="3:3">
      <c r="C42" s="40">
        <v>46147</v>
      </c>
    </row>
    <row r="43" spans="3:3">
      <c r="C43" s="40">
        <v>46147</v>
      </c>
    </row>
    <row r="44" spans="3:3">
      <c r="C44" s="40">
        <v>46147</v>
      </c>
    </row>
    <row r="45" spans="3:3">
      <c r="C45" s="40">
        <v>46147</v>
      </c>
    </row>
    <row r="46" spans="3:3">
      <c r="C46" s="40">
        <v>46147</v>
      </c>
    </row>
    <row r="47" spans="3:3">
      <c r="C47" s="40">
        <v>46147</v>
      </c>
    </row>
    <row r="48" spans="3:3">
      <c r="C48" s="40">
        <v>46147</v>
      </c>
    </row>
    <row r="49" spans="3:3">
      <c r="C49" s="40">
        <v>46147</v>
      </c>
    </row>
    <row r="50" spans="3:3">
      <c r="C50" s="40">
        <v>46147</v>
      </c>
    </row>
    <row r="51" spans="3:3">
      <c r="C51" s="40">
        <v>46147</v>
      </c>
    </row>
    <row r="52" spans="3:3">
      <c r="C52" s="40">
        <v>46148</v>
      </c>
    </row>
    <row r="53" spans="3:3">
      <c r="C53" s="40">
        <v>46148</v>
      </c>
    </row>
    <row r="54" spans="3:3">
      <c r="C54" s="40">
        <v>46148</v>
      </c>
    </row>
    <row r="55" spans="3:3">
      <c r="C55" s="40">
        <v>46148</v>
      </c>
    </row>
    <row r="56" spans="3:3">
      <c r="C56" s="40">
        <v>46148</v>
      </c>
    </row>
    <row r="57" spans="3:3">
      <c r="C57" s="40">
        <v>46148</v>
      </c>
    </row>
    <row r="58" spans="3:3">
      <c r="C58" s="40">
        <v>46148</v>
      </c>
    </row>
    <row r="59" spans="3:3">
      <c r="C59" s="40">
        <v>46148</v>
      </c>
    </row>
    <row r="60" spans="3:3">
      <c r="C60" s="40">
        <v>46148</v>
      </c>
    </row>
    <row r="61" spans="3:3">
      <c r="C61" s="40">
        <v>46148</v>
      </c>
    </row>
    <row r="62" spans="3:3">
      <c r="C62" s="40">
        <v>46149</v>
      </c>
    </row>
    <row r="63" spans="3:3">
      <c r="C63" s="40">
        <v>46149</v>
      </c>
    </row>
    <row r="64" spans="3:3">
      <c r="C64" s="40">
        <v>46149</v>
      </c>
    </row>
    <row r="65" spans="3:3">
      <c r="C65" s="40">
        <v>46149</v>
      </c>
    </row>
    <row r="66" spans="3:3">
      <c r="C66" s="40">
        <v>46149</v>
      </c>
    </row>
    <row r="67" spans="3:3">
      <c r="C67" s="40">
        <v>46149</v>
      </c>
    </row>
    <row r="68" spans="3:3">
      <c r="C68" s="40">
        <v>46149</v>
      </c>
    </row>
    <row r="69" spans="3:3">
      <c r="C69" s="40">
        <v>46149</v>
      </c>
    </row>
    <row r="70" spans="3:3">
      <c r="C70" s="40">
        <v>46149</v>
      </c>
    </row>
    <row r="71" spans="3:3">
      <c r="C71" s="40">
        <v>46149</v>
      </c>
    </row>
    <row r="72" spans="3:3">
      <c r="C72" s="40">
        <v>46150</v>
      </c>
    </row>
    <row r="73" spans="3:3">
      <c r="C73" s="40">
        <v>46150</v>
      </c>
    </row>
    <row r="74" spans="3:3">
      <c r="C74" s="40">
        <v>46150</v>
      </c>
    </row>
    <row r="75" spans="3:3">
      <c r="C75" s="40">
        <v>46150</v>
      </c>
    </row>
    <row r="76" spans="3:3">
      <c r="C76" s="40">
        <v>46150</v>
      </c>
    </row>
    <row r="77" spans="3:3">
      <c r="C77" s="40">
        <v>46150</v>
      </c>
    </row>
    <row r="78" spans="3:3">
      <c r="C78" s="40">
        <v>46150</v>
      </c>
    </row>
    <row r="79" spans="3:3">
      <c r="C79" s="40">
        <v>46150</v>
      </c>
    </row>
    <row r="80" spans="3:3">
      <c r="C80" s="40">
        <v>46150</v>
      </c>
    </row>
    <row r="81" spans="3:3">
      <c r="C81" s="40">
        <v>46150</v>
      </c>
    </row>
    <row r="82" spans="3:3">
      <c r="C82" s="40">
        <v>46151</v>
      </c>
    </row>
    <row r="83" spans="3:3">
      <c r="C83" s="40">
        <v>46151</v>
      </c>
    </row>
    <row r="84" spans="3:3">
      <c r="C84" s="40">
        <v>46151</v>
      </c>
    </row>
    <row r="85" spans="3:3">
      <c r="C85" s="40">
        <v>46151</v>
      </c>
    </row>
    <row r="86" spans="3:3">
      <c r="C86" s="40">
        <v>46151</v>
      </c>
    </row>
    <row r="87" spans="3:3">
      <c r="C87" s="40">
        <v>46151</v>
      </c>
    </row>
    <row r="88" spans="3:3">
      <c r="C88" s="40">
        <v>46151</v>
      </c>
    </row>
    <row r="89" spans="3:3">
      <c r="C89" s="40">
        <v>46151</v>
      </c>
    </row>
    <row r="90" spans="3:3">
      <c r="C90" s="40">
        <v>46151</v>
      </c>
    </row>
    <row r="91" spans="3:3">
      <c r="C91" s="40">
        <v>46151</v>
      </c>
    </row>
    <row r="92" spans="3:3">
      <c r="C92" s="40">
        <v>46152</v>
      </c>
    </row>
    <row r="93" spans="3:3">
      <c r="C93" s="40">
        <v>46152</v>
      </c>
    </row>
    <row r="94" spans="3:3">
      <c r="C94" s="40">
        <v>46152</v>
      </c>
    </row>
    <row r="95" spans="3:3">
      <c r="C95" s="40">
        <v>46152</v>
      </c>
    </row>
    <row r="96" spans="3:3">
      <c r="C96" s="40">
        <v>46152</v>
      </c>
    </row>
    <row r="97" spans="3:3">
      <c r="C97" s="40">
        <v>46152</v>
      </c>
    </row>
    <row r="98" spans="3:3">
      <c r="C98" s="40">
        <v>46152</v>
      </c>
    </row>
    <row r="99" spans="3:3">
      <c r="C99" s="40">
        <v>46152</v>
      </c>
    </row>
    <row r="100" spans="3:3">
      <c r="C100" s="40">
        <v>46152</v>
      </c>
    </row>
    <row r="101" spans="3:3">
      <c r="C101" s="40">
        <v>46152</v>
      </c>
    </row>
    <row r="102" spans="3:3">
      <c r="C102" s="40">
        <v>46153</v>
      </c>
    </row>
    <row r="103" spans="3:3">
      <c r="C103" s="40">
        <v>46153</v>
      </c>
    </row>
    <row r="104" spans="3:3">
      <c r="C104" s="40">
        <v>46153</v>
      </c>
    </row>
    <row r="105" spans="3:3">
      <c r="C105" s="40">
        <v>46153</v>
      </c>
    </row>
    <row r="106" spans="3:3">
      <c r="C106" s="40">
        <v>46153</v>
      </c>
    </row>
    <row r="107" spans="3:3">
      <c r="C107" s="40">
        <v>46153</v>
      </c>
    </row>
    <row r="108" spans="3:3">
      <c r="C108" s="40">
        <v>46153</v>
      </c>
    </row>
    <row r="109" spans="3:3">
      <c r="C109" s="40">
        <v>46153</v>
      </c>
    </row>
    <row r="110" spans="3:3">
      <c r="C110" s="40">
        <v>46153</v>
      </c>
    </row>
    <row r="111" spans="3:3">
      <c r="C111" s="40">
        <v>46153</v>
      </c>
    </row>
    <row r="112" spans="3:3">
      <c r="C112" s="40">
        <v>46154</v>
      </c>
    </row>
    <row r="113" spans="3:3">
      <c r="C113" s="40">
        <v>46154</v>
      </c>
    </row>
    <row r="114" spans="3:3">
      <c r="C114" s="40">
        <v>46154</v>
      </c>
    </row>
    <row r="115" spans="3:3">
      <c r="C115" s="40">
        <v>46154</v>
      </c>
    </row>
    <row r="116" spans="3:3">
      <c r="C116" s="40">
        <v>46154</v>
      </c>
    </row>
    <row r="117" spans="3:3">
      <c r="C117" s="40">
        <v>46154</v>
      </c>
    </row>
    <row r="118" spans="3:3">
      <c r="C118" s="40">
        <v>46154</v>
      </c>
    </row>
    <row r="119" spans="3:3">
      <c r="C119" s="40">
        <v>46154</v>
      </c>
    </row>
    <row r="120" spans="3:3">
      <c r="C120" s="40">
        <v>46154</v>
      </c>
    </row>
    <row r="121" spans="3:3">
      <c r="C121" s="40">
        <v>46154</v>
      </c>
    </row>
    <row r="122" spans="3:3">
      <c r="C122" s="40">
        <v>46155</v>
      </c>
    </row>
    <row r="123" spans="3:3">
      <c r="C123" s="40">
        <v>46155</v>
      </c>
    </row>
    <row r="124" spans="3:3">
      <c r="C124" s="40">
        <v>46155</v>
      </c>
    </row>
    <row r="125" spans="3:3">
      <c r="C125" s="40">
        <v>46155</v>
      </c>
    </row>
    <row r="126" spans="3:3">
      <c r="C126" s="40">
        <v>46155</v>
      </c>
    </row>
    <row r="127" spans="3:3">
      <c r="C127" s="40">
        <v>46155</v>
      </c>
    </row>
    <row r="128" spans="3:3">
      <c r="C128" s="40">
        <v>46155</v>
      </c>
    </row>
    <row r="129" spans="3:3">
      <c r="C129" s="40">
        <v>46155</v>
      </c>
    </row>
    <row r="130" spans="3:3">
      <c r="C130" s="40">
        <v>46155</v>
      </c>
    </row>
    <row r="131" spans="3:3">
      <c r="C131" s="40">
        <v>46155</v>
      </c>
    </row>
    <row r="132" spans="3:3">
      <c r="C132" s="40">
        <v>46156</v>
      </c>
    </row>
    <row r="133" spans="3:3">
      <c r="C133" s="40">
        <v>46156</v>
      </c>
    </row>
    <row r="134" spans="3:3">
      <c r="C134" s="40">
        <v>46156</v>
      </c>
    </row>
    <row r="135" spans="3:3">
      <c r="C135" s="40">
        <v>46156</v>
      </c>
    </row>
    <row r="136" spans="3:3">
      <c r="C136" s="40">
        <v>46156</v>
      </c>
    </row>
    <row r="137" spans="3:3">
      <c r="C137" s="40">
        <v>46156</v>
      </c>
    </row>
    <row r="138" spans="3:3">
      <c r="C138" s="40">
        <v>46156</v>
      </c>
    </row>
    <row r="139" spans="3:3">
      <c r="C139" s="40">
        <v>46156</v>
      </c>
    </row>
    <row r="140" spans="3:3">
      <c r="C140" s="40">
        <v>46156</v>
      </c>
    </row>
    <row r="141" spans="3:3">
      <c r="C141" s="40">
        <v>46156</v>
      </c>
    </row>
    <row r="142" spans="3:3">
      <c r="C142" s="40">
        <v>46157</v>
      </c>
    </row>
    <row r="143" spans="3:3">
      <c r="C143" s="40">
        <v>46157</v>
      </c>
    </row>
    <row r="144" spans="3:3">
      <c r="C144" s="40">
        <v>46157</v>
      </c>
    </row>
    <row r="145" spans="3:3">
      <c r="C145" s="40">
        <v>46157</v>
      </c>
    </row>
    <row r="146" spans="3:3">
      <c r="C146" s="40">
        <v>46157</v>
      </c>
    </row>
    <row r="147" spans="3:3">
      <c r="C147" s="40">
        <v>46157</v>
      </c>
    </row>
    <row r="148" spans="3:3">
      <c r="C148" s="40">
        <v>46157</v>
      </c>
    </row>
    <row r="149" spans="3:3">
      <c r="C149" s="40">
        <v>46157</v>
      </c>
    </row>
    <row r="150" spans="3:3">
      <c r="C150" s="40">
        <v>46157</v>
      </c>
    </row>
    <row r="151" spans="3:3">
      <c r="C151" s="40">
        <v>46157</v>
      </c>
    </row>
    <row r="152" spans="3:3">
      <c r="C152" s="40">
        <v>46158</v>
      </c>
    </row>
    <row r="153" spans="3:3">
      <c r="C153" s="40">
        <v>46158</v>
      </c>
    </row>
    <row r="154" spans="3:3">
      <c r="C154" s="40">
        <v>46158</v>
      </c>
    </row>
    <row r="155" spans="3:3">
      <c r="C155" s="40">
        <v>46158</v>
      </c>
    </row>
    <row r="156" spans="3:3">
      <c r="C156" s="40">
        <v>46158</v>
      </c>
    </row>
    <row r="157" spans="3:3">
      <c r="C157" s="40">
        <v>46158</v>
      </c>
    </row>
    <row r="158" spans="3:3">
      <c r="C158" s="40">
        <v>46158</v>
      </c>
    </row>
    <row r="159" spans="3:3">
      <c r="C159" s="40">
        <v>46158</v>
      </c>
    </row>
    <row r="160" spans="3:3">
      <c r="C160" s="40">
        <v>46158</v>
      </c>
    </row>
    <row r="161" spans="3:3">
      <c r="C161" s="40">
        <v>46158</v>
      </c>
    </row>
    <row r="162" spans="3:3">
      <c r="C162" s="40">
        <v>46159</v>
      </c>
    </row>
    <row r="163" spans="3:3">
      <c r="C163" s="40">
        <v>46159</v>
      </c>
    </row>
    <row r="164" spans="3:3">
      <c r="C164" s="40">
        <v>46159</v>
      </c>
    </row>
    <row r="165" spans="3:3">
      <c r="C165" s="40">
        <v>46159</v>
      </c>
    </row>
    <row r="166" spans="3:3">
      <c r="C166" s="40">
        <v>46159</v>
      </c>
    </row>
    <row r="167" spans="3:3">
      <c r="C167" s="40">
        <v>46159</v>
      </c>
    </row>
    <row r="168" spans="3:3">
      <c r="C168" s="40">
        <v>46159</v>
      </c>
    </row>
    <row r="169" spans="3:3">
      <c r="C169" s="40">
        <v>46159</v>
      </c>
    </row>
    <row r="170" spans="3:3">
      <c r="C170" s="40">
        <v>46159</v>
      </c>
    </row>
    <row r="171" spans="3:3">
      <c r="C171" s="40">
        <v>46159</v>
      </c>
    </row>
    <row r="172" spans="3:3">
      <c r="C172" s="40">
        <v>46160</v>
      </c>
    </row>
    <row r="173" spans="3:3">
      <c r="C173" s="40">
        <v>46160</v>
      </c>
    </row>
    <row r="174" spans="3:3">
      <c r="C174" s="40">
        <v>46160</v>
      </c>
    </row>
    <row r="175" spans="3:3">
      <c r="C175" s="40">
        <v>46160</v>
      </c>
    </row>
    <row r="176" spans="3:3">
      <c r="C176" s="40">
        <v>46160</v>
      </c>
    </row>
    <row r="177" spans="3:3">
      <c r="C177" s="40">
        <v>46160</v>
      </c>
    </row>
    <row r="178" spans="3:3">
      <c r="C178" s="40">
        <v>46160</v>
      </c>
    </row>
    <row r="179" spans="3:3">
      <c r="C179" s="40">
        <v>46160</v>
      </c>
    </row>
    <row r="180" spans="3:3">
      <c r="C180" s="40">
        <v>46160</v>
      </c>
    </row>
    <row r="181" spans="3:3">
      <c r="C181" s="40">
        <v>46160</v>
      </c>
    </row>
    <row r="182" spans="3:3">
      <c r="C182" s="40">
        <v>46161</v>
      </c>
    </row>
    <row r="183" spans="3:3">
      <c r="C183" s="40">
        <v>46161</v>
      </c>
    </row>
    <row r="184" spans="3:3">
      <c r="C184" s="40">
        <v>46161</v>
      </c>
    </row>
    <row r="185" spans="3:3">
      <c r="C185" s="40">
        <v>46161</v>
      </c>
    </row>
    <row r="186" spans="3:3">
      <c r="C186" s="40">
        <v>46161</v>
      </c>
    </row>
    <row r="187" spans="3:3">
      <c r="C187" s="40">
        <v>46161</v>
      </c>
    </row>
    <row r="188" spans="3:3">
      <c r="C188" s="40">
        <v>46161</v>
      </c>
    </row>
    <row r="189" spans="3:3">
      <c r="C189" s="40">
        <v>46161</v>
      </c>
    </row>
    <row r="190" spans="3:3">
      <c r="C190" s="40">
        <v>46161</v>
      </c>
    </row>
    <row r="191" spans="3:3">
      <c r="C191" s="40">
        <v>46161</v>
      </c>
    </row>
    <row r="192" spans="3:3">
      <c r="C192" s="40">
        <v>46162</v>
      </c>
    </row>
    <row r="193" spans="3:3">
      <c r="C193" s="40">
        <v>46162</v>
      </c>
    </row>
    <row r="194" spans="3:3">
      <c r="C194" s="40">
        <v>46162</v>
      </c>
    </row>
    <row r="195" spans="3:3">
      <c r="C195" s="40">
        <v>46162</v>
      </c>
    </row>
    <row r="196" spans="3:3">
      <c r="C196" s="40">
        <v>46162</v>
      </c>
    </row>
    <row r="197" spans="3:3">
      <c r="C197" s="40">
        <v>46162</v>
      </c>
    </row>
    <row r="198" spans="3:3">
      <c r="C198" s="40">
        <v>46162</v>
      </c>
    </row>
    <row r="199" spans="3:3">
      <c r="C199" s="40">
        <v>46162</v>
      </c>
    </row>
    <row r="200" spans="3:3">
      <c r="C200" s="40">
        <v>46162</v>
      </c>
    </row>
    <row r="201" spans="3:3">
      <c r="C201" s="40">
        <v>46162</v>
      </c>
    </row>
    <row r="202" spans="3:3">
      <c r="C202" s="40">
        <v>46163</v>
      </c>
    </row>
    <row r="203" spans="3:3">
      <c r="C203" s="40">
        <v>46163</v>
      </c>
    </row>
    <row r="204" spans="3:3">
      <c r="C204" s="40">
        <v>46163</v>
      </c>
    </row>
    <row r="205" spans="3:3">
      <c r="C205" s="40">
        <v>46163</v>
      </c>
    </row>
    <row r="206" spans="3:3">
      <c r="C206" s="40">
        <v>46163</v>
      </c>
    </row>
    <row r="207" spans="3:3">
      <c r="C207" s="40">
        <v>46163</v>
      </c>
    </row>
    <row r="208" spans="3:3">
      <c r="C208" s="40">
        <v>46163</v>
      </c>
    </row>
    <row r="209" spans="3:3">
      <c r="C209" s="40">
        <v>46163</v>
      </c>
    </row>
    <row r="210" spans="3:3">
      <c r="C210" s="40">
        <v>46163</v>
      </c>
    </row>
    <row r="211" spans="3:3">
      <c r="C211" s="40">
        <v>46163</v>
      </c>
    </row>
    <row r="212" spans="3:3">
      <c r="C212" s="40">
        <v>46164</v>
      </c>
    </row>
    <row r="213" spans="3:3">
      <c r="C213" s="40">
        <v>46164</v>
      </c>
    </row>
    <row r="214" spans="3:3">
      <c r="C214" s="40">
        <v>46164</v>
      </c>
    </row>
    <row r="215" spans="3:3">
      <c r="C215" s="40">
        <v>46164</v>
      </c>
    </row>
    <row r="216" spans="3:3">
      <c r="C216" s="40">
        <v>46164</v>
      </c>
    </row>
    <row r="217" spans="3:3">
      <c r="C217" s="40">
        <v>46164</v>
      </c>
    </row>
    <row r="218" spans="3:3">
      <c r="C218" s="40">
        <v>46164</v>
      </c>
    </row>
    <row r="219" spans="3:3">
      <c r="C219" s="40">
        <v>46164</v>
      </c>
    </row>
    <row r="220" spans="3:3">
      <c r="C220" s="40">
        <v>46164</v>
      </c>
    </row>
    <row r="221" spans="3:3">
      <c r="C221" s="40">
        <v>46164</v>
      </c>
    </row>
    <row r="222" spans="3:3">
      <c r="C222" s="40">
        <v>46165</v>
      </c>
    </row>
    <row r="223" spans="3:3">
      <c r="C223" s="40">
        <v>46165</v>
      </c>
    </row>
    <row r="224" spans="3:3">
      <c r="C224" s="40">
        <v>46165</v>
      </c>
    </row>
    <row r="225" spans="3:3">
      <c r="C225" s="40">
        <v>46165</v>
      </c>
    </row>
    <row r="226" spans="3:3">
      <c r="C226" s="40">
        <v>46165</v>
      </c>
    </row>
    <row r="227" spans="3:3">
      <c r="C227" s="40">
        <v>46165</v>
      </c>
    </row>
    <row r="228" spans="3:3">
      <c r="C228" s="40">
        <v>46165</v>
      </c>
    </row>
    <row r="229" spans="3:3">
      <c r="C229" s="40">
        <v>46165</v>
      </c>
    </row>
    <row r="230" spans="3:3">
      <c r="C230" s="40">
        <v>46165</v>
      </c>
    </row>
    <row r="231" spans="3:3">
      <c r="C231" s="40">
        <v>46165</v>
      </c>
    </row>
    <row r="232" spans="3:3">
      <c r="C232" s="40">
        <v>46166</v>
      </c>
    </row>
    <row r="233" spans="3:3">
      <c r="C233" s="40">
        <v>46166</v>
      </c>
    </row>
    <row r="234" spans="3:3">
      <c r="C234" s="40">
        <v>46166</v>
      </c>
    </row>
    <row r="235" spans="3:3">
      <c r="C235" s="40">
        <v>46166</v>
      </c>
    </row>
    <row r="236" spans="3:3">
      <c r="C236" s="40">
        <v>46166</v>
      </c>
    </row>
    <row r="237" spans="3:3">
      <c r="C237" s="40">
        <v>46166</v>
      </c>
    </row>
    <row r="238" spans="3:3">
      <c r="C238" s="40">
        <v>46166</v>
      </c>
    </row>
    <row r="239" spans="3:3">
      <c r="C239" s="40">
        <v>46166</v>
      </c>
    </row>
    <row r="240" spans="3:3">
      <c r="C240" s="40">
        <v>46166</v>
      </c>
    </row>
    <row r="241" spans="3:3">
      <c r="C241" s="40">
        <v>46166</v>
      </c>
    </row>
    <row r="242" spans="3:3">
      <c r="C242" s="40">
        <v>46167</v>
      </c>
    </row>
    <row r="243" spans="3:3">
      <c r="C243" s="40">
        <v>46167</v>
      </c>
    </row>
    <row r="244" spans="3:3">
      <c r="C244" s="40">
        <v>46167</v>
      </c>
    </row>
    <row r="245" spans="3:3">
      <c r="C245" s="40">
        <v>46167</v>
      </c>
    </row>
    <row r="246" spans="3:3">
      <c r="C246" s="40">
        <v>46167</v>
      </c>
    </row>
    <row r="247" spans="3:3">
      <c r="C247" s="40">
        <v>46167</v>
      </c>
    </row>
    <row r="248" spans="3:3">
      <c r="C248" s="40">
        <v>46167</v>
      </c>
    </row>
    <row r="249" spans="3:3">
      <c r="C249" s="40">
        <v>46167</v>
      </c>
    </row>
    <row r="250" spans="3:3">
      <c r="C250" s="40">
        <v>46167</v>
      </c>
    </row>
    <row r="251" spans="3:3">
      <c r="C251" s="40">
        <v>46167</v>
      </c>
    </row>
    <row r="252" spans="3:3">
      <c r="C252" s="40">
        <v>46168</v>
      </c>
    </row>
    <row r="253" spans="3:3">
      <c r="C253" s="40">
        <v>46168</v>
      </c>
    </row>
    <row r="254" spans="3:3">
      <c r="C254" s="40">
        <v>46168</v>
      </c>
    </row>
    <row r="255" spans="3:3">
      <c r="C255" s="40">
        <v>46168</v>
      </c>
    </row>
    <row r="256" spans="3:3">
      <c r="C256" s="40">
        <v>46168</v>
      </c>
    </row>
    <row r="257" spans="3:3">
      <c r="C257" s="40">
        <v>46168</v>
      </c>
    </row>
    <row r="258" spans="3:3">
      <c r="C258" s="40">
        <v>46168</v>
      </c>
    </row>
    <row r="259" spans="3:3">
      <c r="C259" s="40">
        <v>46168</v>
      </c>
    </row>
    <row r="260" spans="3:3">
      <c r="C260" s="40">
        <v>46168</v>
      </c>
    </row>
    <row r="261" spans="3:3">
      <c r="C261" s="40">
        <v>46168</v>
      </c>
    </row>
    <row r="262" spans="3:3">
      <c r="C262" s="40">
        <v>46169</v>
      </c>
    </row>
    <row r="263" spans="3:3">
      <c r="C263" s="40">
        <v>46169</v>
      </c>
    </row>
    <row r="264" spans="3:3">
      <c r="C264" s="40">
        <v>46169</v>
      </c>
    </row>
    <row r="265" spans="3:3">
      <c r="C265" s="40">
        <v>46169</v>
      </c>
    </row>
    <row r="266" spans="3:3">
      <c r="C266" s="40">
        <v>46169</v>
      </c>
    </row>
    <row r="267" spans="3:3">
      <c r="C267" s="40">
        <v>46169</v>
      </c>
    </row>
    <row r="268" spans="3:3">
      <c r="C268" s="40">
        <v>46169</v>
      </c>
    </row>
    <row r="269" spans="3:3">
      <c r="C269" s="40">
        <v>46169</v>
      </c>
    </row>
    <row r="270" spans="3:3">
      <c r="C270" s="40">
        <v>46169</v>
      </c>
    </row>
    <row r="271" spans="3:3">
      <c r="C271" s="40">
        <v>46169</v>
      </c>
    </row>
    <row r="272" spans="3:3">
      <c r="C272" s="40">
        <v>46170</v>
      </c>
    </row>
    <row r="273" spans="3:3">
      <c r="C273" s="40">
        <v>46170</v>
      </c>
    </row>
    <row r="274" spans="3:3">
      <c r="C274" s="40">
        <v>46170</v>
      </c>
    </row>
    <row r="275" spans="3:3">
      <c r="C275" s="40">
        <v>46170</v>
      </c>
    </row>
    <row r="276" spans="3:3">
      <c r="C276" s="40">
        <v>46170</v>
      </c>
    </row>
    <row r="277" spans="3:3">
      <c r="C277" s="40">
        <v>46170</v>
      </c>
    </row>
    <row r="278" spans="3:3">
      <c r="C278" s="40">
        <v>46170</v>
      </c>
    </row>
    <row r="279" spans="3:3">
      <c r="C279" s="40">
        <v>46170</v>
      </c>
    </row>
    <row r="280" spans="3:3">
      <c r="C280" s="40">
        <v>46170</v>
      </c>
    </row>
    <row r="281" spans="3:3">
      <c r="C281" s="40">
        <v>46170</v>
      </c>
    </row>
    <row r="282" spans="3:3">
      <c r="C282" s="40">
        <v>46171</v>
      </c>
    </row>
    <row r="283" spans="3:3">
      <c r="C283" s="40">
        <v>46171</v>
      </c>
    </row>
    <row r="284" spans="3:3">
      <c r="C284" s="40">
        <v>46171</v>
      </c>
    </row>
    <row r="285" spans="3:3">
      <c r="C285" s="40">
        <v>46171</v>
      </c>
    </row>
    <row r="286" spans="3:3">
      <c r="C286" s="40">
        <v>46171</v>
      </c>
    </row>
    <row r="287" spans="3:3">
      <c r="C287" s="40">
        <v>46171</v>
      </c>
    </row>
    <row r="288" spans="3:3">
      <c r="C288" s="40">
        <v>46171</v>
      </c>
    </row>
    <row r="289" spans="3:3">
      <c r="C289" s="40">
        <v>46171</v>
      </c>
    </row>
    <row r="290" spans="3:3">
      <c r="C290" s="40">
        <v>46171</v>
      </c>
    </row>
    <row r="291" spans="3:3">
      <c r="C291" s="40">
        <v>46171</v>
      </c>
    </row>
    <row r="292" spans="3:3">
      <c r="C292" s="40">
        <v>46172</v>
      </c>
    </row>
    <row r="293" spans="3:3">
      <c r="C293" s="40">
        <v>46172</v>
      </c>
    </row>
    <row r="294" spans="3:3">
      <c r="C294" s="40">
        <v>46172</v>
      </c>
    </row>
    <row r="295" spans="3:3">
      <c r="C295" s="40">
        <v>46172</v>
      </c>
    </row>
    <row r="296" spans="3:3">
      <c r="C296" s="40">
        <v>46172</v>
      </c>
    </row>
    <row r="297" spans="3:3">
      <c r="C297" s="40">
        <v>46172</v>
      </c>
    </row>
    <row r="298" spans="3:3">
      <c r="C298" s="40">
        <v>46172</v>
      </c>
    </row>
    <row r="299" spans="3:3">
      <c r="C299" s="40">
        <v>46172</v>
      </c>
    </row>
    <row r="300" spans="3:3">
      <c r="C300" s="40">
        <v>46172</v>
      </c>
    </row>
    <row r="301" spans="3:3">
      <c r="C301" s="40">
        <v>46172</v>
      </c>
    </row>
    <row r="302" spans="3:3">
      <c r="C302" s="40">
        <v>46173</v>
      </c>
    </row>
    <row r="303" spans="3:3">
      <c r="C303" s="40">
        <v>46173</v>
      </c>
    </row>
    <row r="304" spans="3:3">
      <c r="C304" s="40">
        <v>46173</v>
      </c>
    </row>
    <row r="305" spans="3:3">
      <c r="C305" s="40">
        <v>46173</v>
      </c>
    </row>
    <row r="306" spans="3:3">
      <c r="C306" s="40">
        <v>46173</v>
      </c>
    </row>
    <row r="307" spans="3:3">
      <c r="C307" s="40">
        <v>46173</v>
      </c>
    </row>
    <row r="308" spans="3:3">
      <c r="C308" s="40">
        <v>46173</v>
      </c>
    </row>
    <row r="309" spans="3:3">
      <c r="C309" s="40">
        <v>46173</v>
      </c>
    </row>
    <row r="310" spans="3:3">
      <c r="C310" s="40">
        <v>46173</v>
      </c>
    </row>
    <row r="311" spans="3:3">
      <c r="C311" s="40">
        <v>46173</v>
      </c>
    </row>
    <row r="312" spans="3:3">
      <c r="C312" s="40">
        <v>46174</v>
      </c>
    </row>
    <row r="313" spans="3:3">
      <c r="C313" s="40">
        <v>46174</v>
      </c>
    </row>
    <row r="314" spans="3:3">
      <c r="C314" s="40">
        <v>46174</v>
      </c>
    </row>
    <row r="315" spans="3:3">
      <c r="C315" s="40">
        <v>46174</v>
      </c>
    </row>
    <row r="316" spans="3:3">
      <c r="C316" s="40">
        <v>46174</v>
      </c>
    </row>
    <row r="317" spans="3:3">
      <c r="C317" s="40">
        <v>46174</v>
      </c>
    </row>
    <row r="318" spans="3:3">
      <c r="C318" s="40">
        <v>46174</v>
      </c>
    </row>
    <row r="319" spans="3:3">
      <c r="C319" s="40">
        <v>46174</v>
      </c>
    </row>
    <row r="320" spans="3:3">
      <c r="C320" s="40">
        <v>46174</v>
      </c>
    </row>
    <row r="321" spans="3:3">
      <c r="C321" s="40">
        <v>46174</v>
      </c>
    </row>
    <row r="322" spans="3:3">
      <c r="C322" s="40">
        <v>46175</v>
      </c>
    </row>
    <row r="323" spans="3:3">
      <c r="C323" s="40">
        <v>46175</v>
      </c>
    </row>
    <row r="324" spans="3:3">
      <c r="C324" s="40">
        <v>46175</v>
      </c>
    </row>
    <row r="325" spans="3:3">
      <c r="C325" s="40">
        <v>46175</v>
      </c>
    </row>
    <row r="326" spans="3:3">
      <c r="C326" s="40">
        <v>46175</v>
      </c>
    </row>
    <row r="327" spans="3:3">
      <c r="C327" s="40">
        <v>46175</v>
      </c>
    </row>
    <row r="328" spans="3:3">
      <c r="C328" s="40">
        <v>46175</v>
      </c>
    </row>
    <row r="329" spans="3:3">
      <c r="C329" s="40">
        <v>46175</v>
      </c>
    </row>
    <row r="330" spans="3:3">
      <c r="C330" s="40">
        <v>46175</v>
      </c>
    </row>
    <row r="331" spans="3:3">
      <c r="C331" s="40">
        <v>46175</v>
      </c>
    </row>
    <row r="332" spans="3:3">
      <c r="C332" s="40">
        <v>46176</v>
      </c>
    </row>
    <row r="333" spans="3:3">
      <c r="C333" s="40">
        <v>46176</v>
      </c>
    </row>
    <row r="334" spans="3:3">
      <c r="C334" s="40">
        <v>46176</v>
      </c>
    </row>
    <row r="335" spans="3:3">
      <c r="C335" s="40">
        <v>46176</v>
      </c>
    </row>
    <row r="336" spans="3:3">
      <c r="C336" s="40">
        <v>46176</v>
      </c>
    </row>
    <row r="337" spans="3:3">
      <c r="C337" s="40">
        <v>46176</v>
      </c>
    </row>
    <row r="338" spans="3:3">
      <c r="C338" s="40">
        <v>46176</v>
      </c>
    </row>
    <row r="339" spans="3:3">
      <c r="C339" s="40">
        <v>46176</v>
      </c>
    </row>
    <row r="340" spans="3:3">
      <c r="C340" s="40">
        <v>46176</v>
      </c>
    </row>
    <row r="341" spans="3:3">
      <c r="C341" s="40">
        <v>46176</v>
      </c>
    </row>
    <row r="342" spans="3:3">
      <c r="C342" s="40">
        <v>46177</v>
      </c>
    </row>
    <row r="343" spans="3:3">
      <c r="C343" s="40">
        <v>46177</v>
      </c>
    </row>
    <row r="344" spans="3:3">
      <c r="C344" s="40">
        <v>46177</v>
      </c>
    </row>
    <row r="345" spans="3:3">
      <c r="C345" s="40">
        <v>46177</v>
      </c>
    </row>
    <row r="346" spans="3:3">
      <c r="C346" s="40">
        <v>46177</v>
      </c>
    </row>
    <row r="347" spans="3:3">
      <c r="C347" s="40">
        <v>46177</v>
      </c>
    </row>
    <row r="348" spans="3:3">
      <c r="C348" s="40">
        <v>46177</v>
      </c>
    </row>
    <row r="349" spans="3:3">
      <c r="C349" s="40">
        <v>46177</v>
      </c>
    </row>
    <row r="350" spans="3:3">
      <c r="C350" s="40">
        <v>46177</v>
      </c>
    </row>
    <row r="351" spans="3:3">
      <c r="C351" s="40">
        <v>46177</v>
      </c>
    </row>
    <row r="352" spans="3:3">
      <c r="C352" s="40">
        <v>46178</v>
      </c>
    </row>
    <row r="353" spans="3:3">
      <c r="C353" s="40">
        <v>46178</v>
      </c>
    </row>
    <row r="354" spans="3:3">
      <c r="C354" s="40">
        <v>46178</v>
      </c>
    </row>
    <row r="355" spans="3:3">
      <c r="C355" s="40">
        <v>46178</v>
      </c>
    </row>
    <row r="356" spans="3:3">
      <c r="C356" s="40">
        <v>46178</v>
      </c>
    </row>
    <row r="357" spans="3:3">
      <c r="C357" s="40">
        <v>46178</v>
      </c>
    </row>
    <row r="358" spans="3:3">
      <c r="C358" s="40">
        <v>46178</v>
      </c>
    </row>
    <row r="359" spans="3:3">
      <c r="C359" s="40">
        <v>46178</v>
      </c>
    </row>
    <row r="360" spans="3:3">
      <c r="C360" s="40">
        <v>46178</v>
      </c>
    </row>
    <row r="361" spans="3:3">
      <c r="C361" s="40">
        <v>46178</v>
      </c>
    </row>
    <row r="362" spans="3:3">
      <c r="C362" s="40">
        <v>46179</v>
      </c>
    </row>
    <row r="363" spans="3:3">
      <c r="C363" s="40">
        <v>46179</v>
      </c>
    </row>
    <row r="364" spans="3:3">
      <c r="C364" s="40">
        <v>46179</v>
      </c>
    </row>
    <row r="365" spans="3:3">
      <c r="C365" s="40">
        <v>46179</v>
      </c>
    </row>
    <row r="366" spans="3:3">
      <c r="C366" s="40">
        <v>46179</v>
      </c>
    </row>
    <row r="367" spans="3:3">
      <c r="C367" s="40">
        <v>46179</v>
      </c>
    </row>
    <row r="368" spans="3:3">
      <c r="C368" s="40">
        <v>46179</v>
      </c>
    </row>
    <row r="369" spans="3:3">
      <c r="C369" s="40">
        <v>46179</v>
      </c>
    </row>
    <row r="370" spans="3:3">
      <c r="C370" s="40">
        <v>46179</v>
      </c>
    </row>
    <row r="371" spans="3:3">
      <c r="C371" s="40">
        <v>46179</v>
      </c>
    </row>
    <row r="372" spans="3:3">
      <c r="C372" s="40">
        <v>46180</v>
      </c>
    </row>
    <row r="373" spans="3:3">
      <c r="C373" s="40">
        <v>46180</v>
      </c>
    </row>
    <row r="374" spans="3:3">
      <c r="C374" s="40">
        <v>46180</v>
      </c>
    </row>
    <row r="375" spans="3:3">
      <c r="C375" s="40">
        <v>46180</v>
      </c>
    </row>
    <row r="376" spans="3:3">
      <c r="C376" s="40">
        <v>46180</v>
      </c>
    </row>
    <row r="377" spans="3:3">
      <c r="C377" s="40">
        <v>46180</v>
      </c>
    </row>
    <row r="378" spans="3:3">
      <c r="C378" s="40">
        <v>46180</v>
      </c>
    </row>
    <row r="379" spans="3:3">
      <c r="C379" s="40">
        <v>46180</v>
      </c>
    </row>
    <row r="380" spans="3:3">
      <c r="C380" s="40">
        <v>46180</v>
      </c>
    </row>
    <row r="381" spans="3:3">
      <c r="C381" s="40">
        <v>46180</v>
      </c>
    </row>
    <row r="382" spans="3:3">
      <c r="C382" s="40">
        <v>46181</v>
      </c>
    </row>
    <row r="383" spans="3:3">
      <c r="C383" s="40">
        <v>46181</v>
      </c>
    </row>
    <row r="384" spans="3:3">
      <c r="C384" s="40">
        <v>46181</v>
      </c>
    </row>
    <row r="385" spans="3:3">
      <c r="C385" s="40">
        <v>46181</v>
      </c>
    </row>
    <row r="386" spans="3:3">
      <c r="C386" s="40">
        <v>46181</v>
      </c>
    </row>
    <row r="387" spans="3:3">
      <c r="C387" s="40">
        <v>46181</v>
      </c>
    </row>
    <row r="388" spans="3:3">
      <c r="C388" s="40">
        <v>46181</v>
      </c>
    </row>
    <row r="389" spans="3:3">
      <c r="C389" s="40">
        <v>46181</v>
      </c>
    </row>
    <row r="390" spans="3:3">
      <c r="C390" s="40">
        <v>46181</v>
      </c>
    </row>
    <row r="391" spans="3:3">
      <c r="C391" s="40">
        <v>46181</v>
      </c>
    </row>
    <row r="392" spans="3:3">
      <c r="C392" s="40">
        <v>46182</v>
      </c>
    </row>
    <row r="393" spans="3:3">
      <c r="C393" s="40">
        <v>46182</v>
      </c>
    </row>
    <row r="394" spans="3:3">
      <c r="C394" s="40">
        <v>46182</v>
      </c>
    </row>
    <row r="395" spans="3:3">
      <c r="C395" s="40">
        <v>46182</v>
      </c>
    </row>
    <row r="396" spans="3:3">
      <c r="C396" s="40">
        <v>46182</v>
      </c>
    </row>
    <row r="397" spans="3:3">
      <c r="C397" s="40">
        <v>46182</v>
      </c>
    </row>
    <row r="398" spans="3:3">
      <c r="C398" s="40">
        <v>46182</v>
      </c>
    </row>
    <row r="399" spans="3:3">
      <c r="C399" s="40">
        <v>46182</v>
      </c>
    </row>
    <row r="400" spans="3:3">
      <c r="C400" s="40">
        <v>46182</v>
      </c>
    </row>
    <row r="401" spans="3:3">
      <c r="C401" s="40">
        <v>46182</v>
      </c>
    </row>
    <row r="402" spans="3:3">
      <c r="C402" s="40">
        <v>46183</v>
      </c>
    </row>
    <row r="403" spans="3:3">
      <c r="C403" s="40">
        <v>46183</v>
      </c>
    </row>
    <row r="404" spans="3:3">
      <c r="C404" s="40">
        <v>46183</v>
      </c>
    </row>
    <row r="405" spans="3:3">
      <c r="C405" s="40">
        <v>46183</v>
      </c>
    </row>
    <row r="406" spans="3:3">
      <c r="C406" s="40">
        <v>46183</v>
      </c>
    </row>
    <row r="407" spans="3:3">
      <c r="C407" s="40">
        <v>46183</v>
      </c>
    </row>
    <row r="408" spans="3:3">
      <c r="C408" s="40">
        <v>46183</v>
      </c>
    </row>
    <row r="409" spans="3:3">
      <c r="C409" s="40">
        <v>46183</v>
      </c>
    </row>
    <row r="410" spans="3:3">
      <c r="C410" s="40">
        <v>46183</v>
      </c>
    </row>
    <row r="411" spans="3:3">
      <c r="C411" s="40">
        <v>46183</v>
      </c>
    </row>
    <row r="412" spans="3:3">
      <c r="C412" s="40">
        <v>46184</v>
      </c>
    </row>
    <row r="413" spans="3:3">
      <c r="C413" s="40">
        <v>46184</v>
      </c>
    </row>
    <row r="414" spans="3:3">
      <c r="C414" s="40">
        <v>46184</v>
      </c>
    </row>
    <row r="415" spans="3:3">
      <c r="C415" s="40">
        <v>46184</v>
      </c>
    </row>
    <row r="416" spans="3:3">
      <c r="C416" s="40">
        <v>46184</v>
      </c>
    </row>
    <row r="417" spans="3:3">
      <c r="C417" s="40">
        <v>46184</v>
      </c>
    </row>
    <row r="418" spans="3:3">
      <c r="C418" s="40">
        <v>46184</v>
      </c>
    </row>
    <row r="419" spans="3:3">
      <c r="C419" s="40">
        <v>46184</v>
      </c>
    </row>
    <row r="420" spans="3:3">
      <c r="C420" s="40">
        <v>46184</v>
      </c>
    </row>
    <row r="421" spans="3:3">
      <c r="C421" s="40">
        <v>46184</v>
      </c>
    </row>
    <row r="422" spans="3:3">
      <c r="C422" s="40">
        <v>46185</v>
      </c>
    </row>
    <row r="423" spans="3:3">
      <c r="C423" s="40">
        <v>46185</v>
      </c>
    </row>
    <row r="424" spans="3:3">
      <c r="C424" s="40">
        <v>46185</v>
      </c>
    </row>
    <row r="425" spans="3:3">
      <c r="C425" s="40">
        <v>46185</v>
      </c>
    </row>
    <row r="426" spans="3:3">
      <c r="C426" s="40">
        <v>46185</v>
      </c>
    </row>
    <row r="427" spans="3:3">
      <c r="C427" s="40">
        <v>46185</v>
      </c>
    </row>
    <row r="428" spans="3:3">
      <c r="C428" s="40">
        <v>46185</v>
      </c>
    </row>
    <row r="429" spans="3:3">
      <c r="C429" s="40">
        <v>46185</v>
      </c>
    </row>
    <row r="430" spans="3:3">
      <c r="C430" s="40">
        <v>46185</v>
      </c>
    </row>
    <row r="431" spans="3:3">
      <c r="C431" s="40">
        <v>46185</v>
      </c>
    </row>
    <row r="432" spans="3:3">
      <c r="C432" s="40">
        <v>46186</v>
      </c>
    </row>
    <row r="433" spans="3:3">
      <c r="C433" s="40">
        <v>46186</v>
      </c>
    </row>
    <row r="434" spans="3:3">
      <c r="C434" s="40">
        <v>46186</v>
      </c>
    </row>
    <row r="435" spans="3:3">
      <c r="C435" s="40">
        <v>46186</v>
      </c>
    </row>
    <row r="436" spans="3:3">
      <c r="C436" s="40">
        <v>46186</v>
      </c>
    </row>
    <row r="437" spans="3:3">
      <c r="C437" s="40">
        <v>46186</v>
      </c>
    </row>
    <row r="438" spans="3:3">
      <c r="C438" s="40">
        <v>46186</v>
      </c>
    </row>
    <row r="439" spans="3:3">
      <c r="C439" s="40">
        <v>46186</v>
      </c>
    </row>
    <row r="440" spans="3:3">
      <c r="C440" s="40">
        <v>46186</v>
      </c>
    </row>
    <row r="441" spans="3:3">
      <c r="C441" s="40">
        <v>46186</v>
      </c>
    </row>
    <row r="442" spans="3:3">
      <c r="C442" s="40">
        <v>46187</v>
      </c>
    </row>
    <row r="443" spans="3:3">
      <c r="C443" s="40">
        <v>46187</v>
      </c>
    </row>
    <row r="444" spans="3:3">
      <c r="C444" s="40">
        <v>46187</v>
      </c>
    </row>
    <row r="445" spans="3:3">
      <c r="C445" s="40">
        <v>46187</v>
      </c>
    </row>
    <row r="446" spans="3:3">
      <c r="C446" s="40">
        <v>46187</v>
      </c>
    </row>
    <row r="447" spans="3:3">
      <c r="C447" s="40">
        <v>46187</v>
      </c>
    </row>
    <row r="448" spans="3:3">
      <c r="C448" s="40">
        <v>46187</v>
      </c>
    </row>
    <row r="449" spans="3:3">
      <c r="C449" s="40">
        <v>46187</v>
      </c>
    </row>
    <row r="450" spans="3:3">
      <c r="C450" s="40">
        <v>46187</v>
      </c>
    </row>
    <row r="451" spans="3:3">
      <c r="C451" s="40">
        <v>46187</v>
      </c>
    </row>
    <row r="452" spans="3:3">
      <c r="C452" s="40">
        <v>46188</v>
      </c>
    </row>
    <row r="453" spans="3:3">
      <c r="C453" s="40">
        <v>46188</v>
      </c>
    </row>
    <row r="454" spans="3:3">
      <c r="C454" s="40">
        <v>46188</v>
      </c>
    </row>
    <row r="455" spans="3:3">
      <c r="C455" s="40">
        <v>46188</v>
      </c>
    </row>
    <row r="456" spans="3:3">
      <c r="C456" s="40">
        <v>46188</v>
      </c>
    </row>
    <row r="457" spans="3:3">
      <c r="C457" s="40">
        <v>46188</v>
      </c>
    </row>
    <row r="458" spans="3:3">
      <c r="C458" s="40">
        <v>46188</v>
      </c>
    </row>
    <row r="459" spans="3:3">
      <c r="C459" s="40">
        <v>46188</v>
      </c>
    </row>
    <row r="460" spans="3:3">
      <c r="C460" s="40">
        <v>46188</v>
      </c>
    </row>
    <row r="461" spans="3:3">
      <c r="C461" s="40">
        <v>46188</v>
      </c>
    </row>
    <row r="462" spans="3:3">
      <c r="C462" s="40">
        <v>46189</v>
      </c>
    </row>
    <row r="463" spans="3:3">
      <c r="C463" s="40">
        <v>46189</v>
      </c>
    </row>
    <row r="464" spans="3:3">
      <c r="C464" s="40">
        <v>46189</v>
      </c>
    </row>
    <row r="465" spans="3:3">
      <c r="C465" s="40">
        <v>46189</v>
      </c>
    </row>
    <row r="466" spans="3:3">
      <c r="C466" s="40">
        <v>46189</v>
      </c>
    </row>
    <row r="467" spans="3:3">
      <c r="C467" s="40">
        <v>46189</v>
      </c>
    </row>
    <row r="468" spans="3:3">
      <c r="C468" s="40">
        <v>46189</v>
      </c>
    </row>
    <row r="469" spans="3:3">
      <c r="C469" s="40">
        <v>46189</v>
      </c>
    </row>
    <row r="470" spans="3:3">
      <c r="C470" s="40">
        <v>46189</v>
      </c>
    </row>
    <row r="471" spans="3:3">
      <c r="C471" s="40">
        <v>46189</v>
      </c>
    </row>
    <row r="472" spans="3:3">
      <c r="C472" s="40">
        <v>46190</v>
      </c>
    </row>
    <row r="473" spans="3:3">
      <c r="C473" s="40">
        <v>46190</v>
      </c>
    </row>
    <row r="474" spans="3:3">
      <c r="C474" s="40">
        <v>46190</v>
      </c>
    </row>
    <row r="475" spans="3:3">
      <c r="C475" s="40">
        <v>46190</v>
      </c>
    </row>
    <row r="476" spans="3:3">
      <c r="C476" s="40">
        <v>46190</v>
      </c>
    </row>
    <row r="477" spans="3:3">
      <c r="C477" s="40">
        <v>46190</v>
      </c>
    </row>
    <row r="478" spans="3:3">
      <c r="C478" s="40">
        <v>46190</v>
      </c>
    </row>
    <row r="479" spans="3:3">
      <c r="C479" s="40">
        <v>46190</v>
      </c>
    </row>
    <row r="480" spans="3:3">
      <c r="C480" s="40">
        <v>46190</v>
      </c>
    </row>
    <row r="481" spans="3:3">
      <c r="C481" s="40">
        <v>46190</v>
      </c>
    </row>
    <row r="482" spans="3:3">
      <c r="C482" s="40">
        <v>46191</v>
      </c>
    </row>
    <row r="483" spans="3:3">
      <c r="C483" s="40">
        <v>46191</v>
      </c>
    </row>
    <row r="484" spans="3:3">
      <c r="C484" s="40">
        <v>46191</v>
      </c>
    </row>
    <row r="485" spans="3:3">
      <c r="C485" s="40">
        <v>46191</v>
      </c>
    </row>
    <row r="486" spans="3:3">
      <c r="C486" s="40">
        <v>46191</v>
      </c>
    </row>
    <row r="487" spans="3:3">
      <c r="C487" s="40">
        <v>46191</v>
      </c>
    </row>
    <row r="488" spans="3:3">
      <c r="C488" s="40">
        <v>46191</v>
      </c>
    </row>
    <row r="489" spans="3:3">
      <c r="C489" s="40">
        <v>46191</v>
      </c>
    </row>
    <row r="490" spans="3:3">
      <c r="C490" s="40">
        <v>46191</v>
      </c>
    </row>
    <row r="491" spans="3:3">
      <c r="C491" s="40">
        <v>46191</v>
      </c>
    </row>
    <row r="492" spans="3:3">
      <c r="C492" s="40">
        <v>46192</v>
      </c>
    </row>
    <row r="493" spans="3:3">
      <c r="C493" s="40">
        <v>46192</v>
      </c>
    </row>
    <row r="494" spans="3:3">
      <c r="C494" s="40">
        <v>46192</v>
      </c>
    </row>
    <row r="495" spans="3:3">
      <c r="C495" s="40">
        <v>46192</v>
      </c>
    </row>
    <row r="496" spans="3:3">
      <c r="C496" s="40">
        <v>46192</v>
      </c>
    </row>
    <row r="497" spans="3:3">
      <c r="C497" s="40">
        <v>46192</v>
      </c>
    </row>
    <row r="498" spans="3:3">
      <c r="C498" s="40">
        <v>46192</v>
      </c>
    </row>
    <row r="499" spans="3:3">
      <c r="C499" s="40">
        <v>46192</v>
      </c>
    </row>
    <row r="500" spans="3:3">
      <c r="C500" s="40">
        <v>46192</v>
      </c>
    </row>
    <row r="501" spans="3:3">
      <c r="C501" s="40">
        <v>46192</v>
      </c>
    </row>
    <row r="502" spans="3:3">
      <c r="C502" s="40">
        <v>46193</v>
      </c>
    </row>
    <row r="503" spans="3:3">
      <c r="C503" s="40">
        <v>46193</v>
      </c>
    </row>
    <row r="504" spans="3:3">
      <c r="C504" s="40">
        <v>46193</v>
      </c>
    </row>
    <row r="505" spans="3:3">
      <c r="C505" s="40">
        <v>46193</v>
      </c>
    </row>
    <row r="506" spans="3:3">
      <c r="C506" s="40">
        <v>46193</v>
      </c>
    </row>
    <row r="507" spans="3:3">
      <c r="C507" s="40">
        <v>46193</v>
      </c>
    </row>
    <row r="508" spans="3:3">
      <c r="C508" s="40">
        <v>46193</v>
      </c>
    </row>
    <row r="509" spans="3:3">
      <c r="C509" s="40">
        <v>46193</v>
      </c>
    </row>
    <row r="510" spans="3:3">
      <c r="C510" s="40">
        <v>46193</v>
      </c>
    </row>
    <row r="511" spans="3:3">
      <c r="C511" s="40">
        <v>46193</v>
      </c>
    </row>
    <row r="512" spans="3:3">
      <c r="C512" s="40">
        <v>46194</v>
      </c>
    </row>
    <row r="513" spans="3:3">
      <c r="C513" s="40">
        <v>46194</v>
      </c>
    </row>
    <row r="514" spans="3:3">
      <c r="C514" s="40">
        <v>46194</v>
      </c>
    </row>
    <row r="515" spans="3:3">
      <c r="C515" s="40">
        <v>46194</v>
      </c>
    </row>
    <row r="516" spans="3:3">
      <c r="C516" s="40">
        <v>46194</v>
      </c>
    </row>
    <row r="517" spans="3:3">
      <c r="C517" s="40">
        <v>46194</v>
      </c>
    </row>
    <row r="518" spans="3:3">
      <c r="C518" s="40">
        <v>46194</v>
      </c>
    </row>
    <row r="519" spans="3:3">
      <c r="C519" s="40">
        <v>46194</v>
      </c>
    </row>
    <row r="520" spans="3:3">
      <c r="C520" s="40">
        <v>46194</v>
      </c>
    </row>
    <row r="521" spans="3:3">
      <c r="C521" s="40">
        <v>46194</v>
      </c>
    </row>
    <row r="522" spans="3:3">
      <c r="C522" s="40">
        <v>46195</v>
      </c>
    </row>
    <row r="523" spans="3:3">
      <c r="C523" s="40">
        <v>46195</v>
      </c>
    </row>
    <row r="524" spans="3:3">
      <c r="C524" s="40">
        <v>46195</v>
      </c>
    </row>
    <row r="525" spans="3:3">
      <c r="C525" s="40">
        <v>46195</v>
      </c>
    </row>
    <row r="526" spans="3:3">
      <c r="C526" s="40">
        <v>46195</v>
      </c>
    </row>
    <row r="527" spans="3:3">
      <c r="C527" s="40">
        <v>46195</v>
      </c>
    </row>
    <row r="528" spans="3:3">
      <c r="C528" s="40">
        <v>46195</v>
      </c>
    </row>
    <row r="529" spans="3:3">
      <c r="C529" s="40">
        <v>46195</v>
      </c>
    </row>
    <row r="530" spans="3:3">
      <c r="C530" s="40">
        <v>46195</v>
      </c>
    </row>
    <row r="531" spans="3:3">
      <c r="C531" s="40">
        <v>46195</v>
      </c>
    </row>
    <row r="532" spans="3:3">
      <c r="C532" s="40">
        <v>46196</v>
      </c>
    </row>
    <row r="533" spans="3:3">
      <c r="C533" s="40">
        <v>46196</v>
      </c>
    </row>
    <row r="534" spans="3:3">
      <c r="C534" s="40">
        <v>46196</v>
      </c>
    </row>
    <row r="535" spans="3:3">
      <c r="C535" s="40">
        <v>46196</v>
      </c>
    </row>
    <row r="536" spans="3:3">
      <c r="C536" s="40">
        <v>46196</v>
      </c>
    </row>
    <row r="537" spans="3:3">
      <c r="C537" s="40">
        <v>46196</v>
      </c>
    </row>
    <row r="538" spans="3:3">
      <c r="C538" s="40">
        <v>46196</v>
      </c>
    </row>
    <row r="539" spans="3:3">
      <c r="C539" s="40">
        <v>46196</v>
      </c>
    </row>
    <row r="540" spans="3:3">
      <c r="C540" s="40">
        <v>46196</v>
      </c>
    </row>
    <row r="541" spans="3:3">
      <c r="C541" s="40">
        <v>46196</v>
      </c>
    </row>
    <row r="542" spans="3:3">
      <c r="C542" s="40">
        <v>46197</v>
      </c>
    </row>
    <row r="543" spans="3:3">
      <c r="C543" s="40">
        <v>46197</v>
      </c>
    </row>
    <row r="544" spans="3:3">
      <c r="C544" s="40">
        <v>46197</v>
      </c>
    </row>
    <row r="545" spans="3:3">
      <c r="C545" s="40">
        <v>46197</v>
      </c>
    </row>
    <row r="546" spans="3:3">
      <c r="C546" s="40">
        <v>46197</v>
      </c>
    </row>
    <row r="547" spans="3:3">
      <c r="C547" s="40">
        <v>46197</v>
      </c>
    </row>
    <row r="548" spans="3:3">
      <c r="C548" s="40">
        <v>46197</v>
      </c>
    </row>
    <row r="549" spans="3:3">
      <c r="C549" s="40">
        <v>46197</v>
      </c>
    </row>
    <row r="550" spans="3:3">
      <c r="C550" s="40">
        <v>46197</v>
      </c>
    </row>
    <row r="551" spans="3:3">
      <c r="C551" s="40">
        <v>46197</v>
      </c>
    </row>
    <row r="552" spans="3:3">
      <c r="C552" s="40">
        <v>46198</v>
      </c>
    </row>
    <row r="553" spans="3:3">
      <c r="C553" s="40">
        <v>46198</v>
      </c>
    </row>
    <row r="554" spans="3:3">
      <c r="C554" s="40">
        <v>46198</v>
      </c>
    </row>
    <row r="555" spans="3:3">
      <c r="C555" s="40">
        <v>46198</v>
      </c>
    </row>
    <row r="556" spans="3:3">
      <c r="C556" s="40">
        <v>46198</v>
      </c>
    </row>
    <row r="557" spans="3:3">
      <c r="C557" s="40">
        <v>46198</v>
      </c>
    </row>
    <row r="558" spans="3:3">
      <c r="C558" s="40">
        <v>46198</v>
      </c>
    </row>
    <row r="559" spans="3:3">
      <c r="C559" s="40">
        <v>46198</v>
      </c>
    </row>
    <row r="560" spans="3:3">
      <c r="C560" s="40">
        <v>46198</v>
      </c>
    </row>
    <row r="561" spans="3:3">
      <c r="C561" s="40">
        <v>46198</v>
      </c>
    </row>
    <row r="562" spans="3:3">
      <c r="C562" s="40">
        <v>46199</v>
      </c>
    </row>
    <row r="563" spans="3:3">
      <c r="C563" s="40">
        <v>46199</v>
      </c>
    </row>
    <row r="564" spans="3:3">
      <c r="C564" s="40">
        <v>46199</v>
      </c>
    </row>
    <row r="565" spans="3:3">
      <c r="C565" s="40">
        <v>46199</v>
      </c>
    </row>
    <row r="566" spans="3:3">
      <c r="C566" s="40">
        <v>46199</v>
      </c>
    </row>
    <row r="567" spans="3:3">
      <c r="C567" s="40">
        <v>46199</v>
      </c>
    </row>
    <row r="568" spans="3:3">
      <c r="C568" s="40">
        <v>46199</v>
      </c>
    </row>
    <row r="569" spans="3:3">
      <c r="C569" s="40">
        <v>46199</v>
      </c>
    </row>
    <row r="570" spans="3:3">
      <c r="C570" s="40">
        <v>46199</v>
      </c>
    </row>
    <row r="571" spans="3:3">
      <c r="C571" s="40">
        <v>46199</v>
      </c>
    </row>
    <row r="572" spans="3:3">
      <c r="C572" s="40">
        <v>46200</v>
      </c>
    </row>
    <row r="573" spans="3:3">
      <c r="C573" s="40">
        <v>46200</v>
      </c>
    </row>
    <row r="574" spans="3:3">
      <c r="C574" s="40">
        <v>46200</v>
      </c>
    </row>
    <row r="575" spans="3:3">
      <c r="C575" s="40">
        <v>46200</v>
      </c>
    </row>
    <row r="576" spans="3:3">
      <c r="C576" s="40">
        <v>46200</v>
      </c>
    </row>
    <row r="577" spans="3:3">
      <c r="C577" s="40">
        <v>46200</v>
      </c>
    </row>
    <row r="578" spans="3:3">
      <c r="C578" s="40">
        <v>46200</v>
      </c>
    </row>
    <row r="579" spans="3:3">
      <c r="C579" s="40">
        <v>46200</v>
      </c>
    </row>
    <row r="580" spans="3:3">
      <c r="C580" s="40">
        <v>46200</v>
      </c>
    </row>
    <row r="581" spans="3:3">
      <c r="C581" s="40">
        <v>46200</v>
      </c>
    </row>
    <row r="582" spans="3:3">
      <c r="C582" s="40">
        <v>46201</v>
      </c>
    </row>
    <row r="583" spans="3:3">
      <c r="C583" s="40">
        <v>46201</v>
      </c>
    </row>
    <row r="584" spans="3:3">
      <c r="C584" s="40">
        <v>46201</v>
      </c>
    </row>
    <row r="585" spans="3:3">
      <c r="C585" s="40">
        <v>46201</v>
      </c>
    </row>
    <row r="586" spans="3:3">
      <c r="C586" s="40">
        <v>46201</v>
      </c>
    </row>
    <row r="587" spans="3:3">
      <c r="C587" s="40">
        <v>46201</v>
      </c>
    </row>
    <row r="588" spans="3:3">
      <c r="C588" s="40">
        <v>46201</v>
      </c>
    </row>
    <row r="589" spans="3:3">
      <c r="C589" s="40">
        <v>46201</v>
      </c>
    </row>
    <row r="590" spans="3:3">
      <c r="C590" s="40">
        <v>46201</v>
      </c>
    </row>
    <row r="591" spans="3:3">
      <c r="C591" s="40">
        <v>46201</v>
      </c>
    </row>
    <row r="592" spans="3:3">
      <c r="C592" s="40">
        <v>46202</v>
      </c>
    </row>
    <row r="593" spans="3:3">
      <c r="C593" s="40">
        <v>46202</v>
      </c>
    </row>
    <row r="594" spans="3:3">
      <c r="C594" s="40">
        <v>46202</v>
      </c>
    </row>
    <row r="595" spans="3:3">
      <c r="C595" s="40">
        <v>46202</v>
      </c>
    </row>
    <row r="596" spans="3:3">
      <c r="C596" s="40">
        <v>46202</v>
      </c>
    </row>
    <row r="597" spans="3:3">
      <c r="C597" s="40">
        <v>46202</v>
      </c>
    </row>
    <row r="598" spans="3:3">
      <c r="C598" s="40">
        <v>46202</v>
      </c>
    </row>
    <row r="599" spans="3:3">
      <c r="C599" s="40">
        <v>46202</v>
      </c>
    </row>
    <row r="600" spans="3:3">
      <c r="C600" s="40">
        <v>46202</v>
      </c>
    </row>
    <row r="601" spans="3:3">
      <c r="C601" s="40">
        <v>46202</v>
      </c>
    </row>
    <row r="602" spans="3:3">
      <c r="C602" s="40">
        <v>46203</v>
      </c>
    </row>
    <row r="603" spans="3:3">
      <c r="C603" s="40">
        <v>46203</v>
      </c>
    </row>
    <row r="604" spans="3:3">
      <c r="C604" s="40">
        <v>46203</v>
      </c>
    </row>
    <row r="605" spans="3:3">
      <c r="C605" s="40">
        <v>46203</v>
      </c>
    </row>
    <row r="606" spans="3:3">
      <c r="C606" s="40">
        <v>46203</v>
      </c>
    </row>
    <row r="607" spans="3:3">
      <c r="C607" s="40">
        <v>46203</v>
      </c>
    </row>
    <row r="608" spans="3:3">
      <c r="C608" s="40">
        <v>46203</v>
      </c>
    </row>
    <row r="609" spans="3:3">
      <c r="C609" s="40">
        <v>46203</v>
      </c>
    </row>
    <row r="610" spans="3:3">
      <c r="C610" s="40">
        <v>46203</v>
      </c>
    </row>
    <row r="611" spans="3:3">
      <c r="C611" s="40">
        <v>46203</v>
      </c>
    </row>
    <row r="612" spans="3:3">
      <c r="C612" s="40">
        <v>46204</v>
      </c>
    </row>
    <row r="613" spans="3:3">
      <c r="C613" s="40">
        <v>46204</v>
      </c>
    </row>
    <row r="614" spans="3:3">
      <c r="C614" s="40">
        <v>46204</v>
      </c>
    </row>
    <row r="615" spans="3:3">
      <c r="C615" s="40">
        <v>46204</v>
      </c>
    </row>
    <row r="616" spans="3:3">
      <c r="C616" s="40">
        <v>46204</v>
      </c>
    </row>
    <row r="617" spans="3:3">
      <c r="C617" s="40">
        <v>46204</v>
      </c>
    </row>
    <row r="618" spans="3:3">
      <c r="C618" s="40">
        <v>46204</v>
      </c>
    </row>
    <row r="619" spans="3:3">
      <c r="C619" s="40">
        <v>46204</v>
      </c>
    </row>
    <row r="620" spans="3:3">
      <c r="C620" s="40">
        <v>46204</v>
      </c>
    </row>
    <row r="621" spans="3:3">
      <c r="C621" s="40">
        <v>46204</v>
      </c>
    </row>
    <row r="622" spans="3:3">
      <c r="C622" s="40">
        <v>46205</v>
      </c>
    </row>
    <row r="623" spans="3:3">
      <c r="C623" s="40">
        <v>46205</v>
      </c>
    </row>
    <row r="624" spans="3:3">
      <c r="C624" s="40">
        <v>46205</v>
      </c>
    </row>
    <row r="625" spans="3:3">
      <c r="C625" s="40">
        <v>46205</v>
      </c>
    </row>
    <row r="626" spans="3:3">
      <c r="C626" s="40">
        <v>46205</v>
      </c>
    </row>
    <row r="627" spans="3:3">
      <c r="C627" s="40">
        <v>46205</v>
      </c>
    </row>
    <row r="628" spans="3:3">
      <c r="C628" s="40">
        <v>46205</v>
      </c>
    </row>
    <row r="629" spans="3:3">
      <c r="C629" s="40">
        <v>46205</v>
      </c>
    </row>
    <row r="630" spans="3:3">
      <c r="C630" s="40">
        <v>46205</v>
      </c>
    </row>
    <row r="631" spans="3:3">
      <c r="C631" s="40">
        <v>46205</v>
      </c>
    </row>
    <row r="632" spans="3:3">
      <c r="C632" s="40">
        <v>46206</v>
      </c>
    </row>
    <row r="633" spans="3:3">
      <c r="C633" s="40">
        <v>46206</v>
      </c>
    </row>
    <row r="634" spans="3:3">
      <c r="C634" s="40">
        <v>46206</v>
      </c>
    </row>
    <row r="635" spans="3:3">
      <c r="C635" s="40">
        <v>46206</v>
      </c>
    </row>
    <row r="636" spans="3:3">
      <c r="C636" s="40">
        <v>46206</v>
      </c>
    </row>
    <row r="637" spans="3:3">
      <c r="C637" s="40">
        <v>46206</v>
      </c>
    </row>
    <row r="638" spans="3:3">
      <c r="C638" s="40">
        <v>46206</v>
      </c>
    </row>
    <row r="639" spans="3:3">
      <c r="C639" s="40">
        <v>46206</v>
      </c>
    </row>
    <row r="640" spans="3:3">
      <c r="C640" s="40">
        <v>46206</v>
      </c>
    </row>
    <row r="641" spans="3:3">
      <c r="C641" s="40">
        <v>46206</v>
      </c>
    </row>
    <row r="642" spans="3:3">
      <c r="C642" s="40">
        <v>46207</v>
      </c>
    </row>
    <row r="643" spans="3:3">
      <c r="C643" s="40">
        <v>46207</v>
      </c>
    </row>
    <row r="644" spans="3:3">
      <c r="C644" s="40">
        <v>46207</v>
      </c>
    </row>
    <row r="645" spans="3:3">
      <c r="C645" s="40">
        <v>46207</v>
      </c>
    </row>
    <row r="646" spans="3:3">
      <c r="C646" s="40">
        <v>46207</v>
      </c>
    </row>
    <row r="647" spans="3:3">
      <c r="C647" s="40">
        <v>46207</v>
      </c>
    </row>
    <row r="648" spans="3:3">
      <c r="C648" s="40">
        <v>46207</v>
      </c>
    </row>
    <row r="649" spans="3:3">
      <c r="C649" s="40">
        <v>46207</v>
      </c>
    </row>
    <row r="650" spans="3:3">
      <c r="C650" s="40">
        <v>46207</v>
      </c>
    </row>
    <row r="651" spans="3:3">
      <c r="C651" s="40">
        <v>46207</v>
      </c>
    </row>
    <row r="652" spans="3:3">
      <c r="C652" s="40">
        <v>46208</v>
      </c>
    </row>
    <row r="653" spans="3:3">
      <c r="C653" s="40">
        <v>46208</v>
      </c>
    </row>
    <row r="654" spans="3:3">
      <c r="C654" s="40">
        <v>46208</v>
      </c>
    </row>
    <row r="655" spans="3:3">
      <c r="C655" s="40">
        <v>46208</v>
      </c>
    </row>
    <row r="656" spans="3:3">
      <c r="C656" s="40">
        <v>46208</v>
      </c>
    </row>
    <row r="657" spans="3:3">
      <c r="C657" s="40">
        <v>46208</v>
      </c>
    </row>
    <row r="658" spans="3:3">
      <c r="C658" s="40">
        <v>46208</v>
      </c>
    </row>
    <row r="659" spans="3:3">
      <c r="C659" s="40">
        <v>46208</v>
      </c>
    </row>
    <row r="660" spans="3:3">
      <c r="C660" s="40">
        <v>46208</v>
      </c>
    </row>
    <row r="661" spans="3:3">
      <c r="C661" s="40">
        <v>46208</v>
      </c>
    </row>
    <row r="662" spans="3:3">
      <c r="C662" s="40">
        <v>46209</v>
      </c>
    </row>
    <row r="663" spans="3:3">
      <c r="C663" s="40">
        <v>46209</v>
      </c>
    </row>
    <row r="664" spans="3:3">
      <c r="C664" s="40">
        <v>46209</v>
      </c>
    </row>
    <row r="665" spans="3:3">
      <c r="C665" s="40">
        <v>46209</v>
      </c>
    </row>
    <row r="666" spans="3:3">
      <c r="C666" s="40">
        <v>46209</v>
      </c>
    </row>
    <row r="667" spans="3:3">
      <c r="C667" s="40">
        <v>46209</v>
      </c>
    </row>
    <row r="668" spans="3:3">
      <c r="C668" s="40">
        <v>46209</v>
      </c>
    </row>
    <row r="669" spans="3:3">
      <c r="C669" s="40">
        <v>46209</v>
      </c>
    </row>
    <row r="670" spans="3:3">
      <c r="C670" s="40">
        <v>46209</v>
      </c>
    </row>
    <row r="671" spans="3:3">
      <c r="C671" s="40">
        <v>46209</v>
      </c>
    </row>
    <row r="672" spans="3:3">
      <c r="C672" s="40">
        <v>46210</v>
      </c>
    </row>
    <row r="673" spans="3:3">
      <c r="C673" s="40">
        <v>46210</v>
      </c>
    </row>
    <row r="674" spans="3:3">
      <c r="C674" s="40">
        <v>46210</v>
      </c>
    </row>
    <row r="675" spans="3:3">
      <c r="C675" s="40">
        <v>46210</v>
      </c>
    </row>
    <row r="676" spans="3:3">
      <c r="C676" s="40">
        <v>46210</v>
      </c>
    </row>
    <row r="677" spans="3:3">
      <c r="C677" s="40">
        <v>46210</v>
      </c>
    </row>
    <row r="678" spans="3:3">
      <c r="C678" s="40">
        <v>46210</v>
      </c>
    </row>
    <row r="679" spans="3:3">
      <c r="C679" s="40">
        <v>46210</v>
      </c>
    </row>
    <row r="680" spans="3:3">
      <c r="C680" s="40">
        <v>46210</v>
      </c>
    </row>
    <row r="681" spans="3:3">
      <c r="C681" s="40">
        <v>46210</v>
      </c>
    </row>
    <row r="682" spans="3:3">
      <c r="C682" s="40">
        <v>46211</v>
      </c>
    </row>
    <row r="683" spans="3:3">
      <c r="C683" s="40">
        <v>46211</v>
      </c>
    </row>
    <row r="684" spans="3:3">
      <c r="C684" s="40">
        <v>46211</v>
      </c>
    </row>
    <row r="685" spans="3:3">
      <c r="C685" s="40">
        <v>46211</v>
      </c>
    </row>
    <row r="686" spans="3:3">
      <c r="C686" s="40">
        <v>46211</v>
      </c>
    </row>
    <row r="687" spans="3:3">
      <c r="C687" s="40">
        <v>46211</v>
      </c>
    </row>
    <row r="688" spans="3:3">
      <c r="C688" s="40">
        <v>46211</v>
      </c>
    </row>
    <row r="689" spans="3:3">
      <c r="C689" s="40">
        <v>46211</v>
      </c>
    </row>
    <row r="690" spans="3:3">
      <c r="C690" s="40">
        <v>46211</v>
      </c>
    </row>
    <row r="691" spans="3:3">
      <c r="C691" s="40">
        <v>46211</v>
      </c>
    </row>
    <row r="692" spans="3:3">
      <c r="C692" s="40">
        <v>46212</v>
      </c>
    </row>
    <row r="693" spans="3:3">
      <c r="C693" s="40">
        <v>46212</v>
      </c>
    </row>
    <row r="694" spans="3:3">
      <c r="C694" s="40">
        <v>46212</v>
      </c>
    </row>
    <row r="695" spans="3:3">
      <c r="C695" s="40">
        <v>46212</v>
      </c>
    </row>
    <row r="696" spans="3:3">
      <c r="C696" s="40">
        <v>46212</v>
      </c>
    </row>
    <row r="697" spans="3:3">
      <c r="C697" s="40">
        <v>46212</v>
      </c>
    </row>
    <row r="698" spans="3:3">
      <c r="C698" s="40">
        <v>46212</v>
      </c>
    </row>
    <row r="699" spans="3:3">
      <c r="C699" s="40">
        <v>46212</v>
      </c>
    </row>
    <row r="700" spans="3:3">
      <c r="C700" s="40">
        <v>46212</v>
      </c>
    </row>
    <row r="701" spans="3:3">
      <c r="C701" s="40">
        <v>46212</v>
      </c>
    </row>
    <row r="702" spans="3:3">
      <c r="C702" s="40">
        <v>46213</v>
      </c>
    </row>
    <row r="703" spans="3:3">
      <c r="C703" s="40">
        <v>46213</v>
      </c>
    </row>
    <row r="704" spans="3:3">
      <c r="C704" s="40">
        <v>46213</v>
      </c>
    </row>
    <row r="705" spans="3:3">
      <c r="C705" s="40">
        <v>46213</v>
      </c>
    </row>
    <row r="706" spans="3:3">
      <c r="C706" s="40">
        <v>46213</v>
      </c>
    </row>
    <row r="707" spans="3:3">
      <c r="C707" s="40">
        <v>46213</v>
      </c>
    </row>
    <row r="708" spans="3:3">
      <c r="C708" s="40">
        <v>46213</v>
      </c>
    </row>
    <row r="709" spans="3:3">
      <c r="C709" s="40">
        <v>46213</v>
      </c>
    </row>
    <row r="710" spans="3:3">
      <c r="C710" s="40">
        <v>46213</v>
      </c>
    </row>
    <row r="711" spans="3:3">
      <c r="C711" s="40">
        <v>46213</v>
      </c>
    </row>
    <row r="712" spans="3:3">
      <c r="C712" s="40">
        <v>46214</v>
      </c>
    </row>
    <row r="713" spans="3:3">
      <c r="C713" s="40">
        <v>46214</v>
      </c>
    </row>
    <row r="714" spans="3:3">
      <c r="C714" s="40">
        <v>46214</v>
      </c>
    </row>
    <row r="715" spans="3:3">
      <c r="C715" s="40">
        <v>46214</v>
      </c>
    </row>
    <row r="716" spans="3:3">
      <c r="C716" s="40">
        <v>46214</v>
      </c>
    </row>
    <row r="717" spans="3:3">
      <c r="C717" s="40">
        <v>46214</v>
      </c>
    </row>
    <row r="718" spans="3:3">
      <c r="C718" s="40">
        <v>46214</v>
      </c>
    </row>
    <row r="719" spans="3:3">
      <c r="C719" s="40">
        <v>46214</v>
      </c>
    </row>
    <row r="720" spans="3:3">
      <c r="C720" s="40">
        <v>46214</v>
      </c>
    </row>
    <row r="721" spans="3:3">
      <c r="C721" s="40">
        <v>46214</v>
      </c>
    </row>
    <row r="722" spans="3:3">
      <c r="C722" s="40">
        <v>46215</v>
      </c>
    </row>
    <row r="723" spans="3:3">
      <c r="C723" s="40">
        <v>46215</v>
      </c>
    </row>
    <row r="724" spans="3:3">
      <c r="C724" s="40">
        <v>46215</v>
      </c>
    </row>
    <row r="725" spans="3:3">
      <c r="C725" s="40">
        <v>46215</v>
      </c>
    </row>
    <row r="726" spans="3:3">
      <c r="C726" s="40">
        <v>46215</v>
      </c>
    </row>
    <row r="727" spans="3:3">
      <c r="C727" s="40">
        <v>46215</v>
      </c>
    </row>
    <row r="728" spans="3:3">
      <c r="C728" s="40">
        <v>46215</v>
      </c>
    </row>
    <row r="729" spans="3:3">
      <c r="C729" s="40">
        <v>46215</v>
      </c>
    </row>
    <row r="730" spans="3:3">
      <c r="C730" s="40">
        <v>46215</v>
      </c>
    </row>
    <row r="731" spans="3:3">
      <c r="C731" s="40">
        <v>46215</v>
      </c>
    </row>
    <row r="732" spans="3:3">
      <c r="C732" s="40">
        <v>46216</v>
      </c>
    </row>
    <row r="733" spans="3:3">
      <c r="C733" s="40">
        <v>46216</v>
      </c>
    </row>
    <row r="734" spans="3:3">
      <c r="C734" s="40">
        <v>46216</v>
      </c>
    </row>
    <row r="735" spans="3:3">
      <c r="C735" s="40">
        <v>46216</v>
      </c>
    </row>
    <row r="736" spans="3:3">
      <c r="C736" s="40">
        <v>46216</v>
      </c>
    </row>
    <row r="737" spans="3:3">
      <c r="C737" s="40">
        <v>46216</v>
      </c>
    </row>
    <row r="738" spans="3:3">
      <c r="C738" s="40">
        <v>46216</v>
      </c>
    </row>
    <row r="739" spans="3:3">
      <c r="C739" s="40">
        <v>46216</v>
      </c>
    </row>
    <row r="740" spans="3:3">
      <c r="C740" s="40">
        <v>46216</v>
      </c>
    </row>
    <row r="741" spans="3:3">
      <c r="C741" s="40">
        <v>46216</v>
      </c>
    </row>
    <row r="742" spans="3:3">
      <c r="C742" s="40">
        <v>46217</v>
      </c>
    </row>
    <row r="743" spans="3:3">
      <c r="C743" s="40">
        <v>46217</v>
      </c>
    </row>
    <row r="744" spans="3:3">
      <c r="C744" s="40">
        <v>46217</v>
      </c>
    </row>
    <row r="745" spans="3:3">
      <c r="C745" s="40">
        <v>46217</v>
      </c>
    </row>
    <row r="746" spans="3:3">
      <c r="C746" s="40">
        <v>46217</v>
      </c>
    </row>
    <row r="747" spans="3:3">
      <c r="C747" s="40">
        <v>46217</v>
      </c>
    </row>
    <row r="748" spans="3:3">
      <c r="C748" s="40">
        <v>46217</v>
      </c>
    </row>
    <row r="749" spans="3:3">
      <c r="C749" s="40">
        <v>46217</v>
      </c>
    </row>
    <row r="750" spans="3:3">
      <c r="C750" s="40">
        <v>46217</v>
      </c>
    </row>
    <row r="751" spans="3:3">
      <c r="C751" s="40">
        <v>46217</v>
      </c>
    </row>
    <row r="752" spans="3:3">
      <c r="C752" s="40">
        <v>46218</v>
      </c>
    </row>
    <row r="753" spans="3:3">
      <c r="C753" s="40">
        <v>46218</v>
      </c>
    </row>
    <row r="754" spans="3:3">
      <c r="C754" s="40">
        <v>46218</v>
      </c>
    </row>
    <row r="755" spans="3:3">
      <c r="C755" s="40">
        <v>46218</v>
      </c>
    </row>
    <row r="756" spans="3:3">
      <c r="C756" s="40">
        <v>46218</v>
      </c>
    </row>
    <row r="757" spans="3:3">
      <c r="C757" s="40">
        <v>46218</v>
      </c>
    </row>
    <row r="758" spans="3:3">
      <c r="C758" s="40">
        <v>46218</v>
      </c>
    </row>
    <row r="759" spans="3:3">
      <c r="C759" s="40">
        <v>46218</v>
      </c>
    </row>
    <row r="760" spans="3:3">
      <c r="C760" s="40">
        <v>46218</v>
      </c>
    </row>
    <row r="761" spans="3:3">
      <c r="C761" s="40">
        <v>46218</v>
      </c>
    </row>
    <row r="762" spans="3:3">
      <c r="C762" s="40">
        <v>46219</v>
      </c>
    </row>
    <row r="763" spans="3:3">
      <c r="C763" s="40">
        <v>46219</v>
      </c>
    </row>
    <row r="764" spans="3:3">
      <c r="C764" s="40">
        <v>46219</v>
      </c>
    </row>
    <row r="765" spans="3:3">
      <c r="C765" s="40">
        <v>46219</v>
      </c>
    </row>
    <row r="766" spans="3:3">
      <c r="C766" s="40">
        <v>46219</v>
      </c>
    </row>
    <row r="767" spans="3:3">
      <c r="C767" s="40">
        <v>46219</v>
      </c>
    </row>
    <row r="768" spans="3:3">
      <c r="C768" s="40">
        <v>46219</v>
      </c>
    </row>
    <row r="769" spans="3:3">
      <c r="C769" s="40">
        <v>46219</v>
      </c>
    </row>
    <row r="770" spans="3:3">
      <c r="C770" s="40">
        <v>46219</v>
      </c>
    </row>
    <row r="771" spans="3:3">
      <c r="C771" s="40">
        <v>46219</v>
      </c>
    </row>
    <row r="772" spans="3:3">
      <c r="C772" s="40">
        <v>46220</v>
      </c>
    </row>
    <row r="773" spans="3:3">
      <c r="C773" s="40">
        <v>46220</v>
      </c>
    </row>
    <row r="774" spans="3:3">
      <c r="C774" s="40">
        <v>46220</v>
      </c>
    </row>
    <row r="775" spans="3:3">
      <c r="C775" s="40">
        <v>46220</v>
      </c>
    </row>
    <row r="776" spans="3:3">
      <c r="C776" s="40">
        <v>46220</v>
      </c>
    </row>
    <row r="777" spans="3:3">
      <c r="C777" s="40">
        <v>46220</v>
      </c>
    </row>
    <row r="778" spans="3:3">
      <c r="C778" s="40">
        <v>46220</v>
      </c>
    </row>
    <row r="779" spans="3:3">
      <c r="C779" s="40">
        <v>46220</v>
      </c>
    </row>
    <row r="780" spans="3:3">
      <c r="C780" s="40">
        <v>46220</v>
      </c>
    </row>
    <row r="781" spans="3:3">
      <c r="C781" s="40">
        <v>46220</v>
      </c>
    </row>
    <row r="782" spans="3:3">
      <c r="C782" s="40">
        <v>46221</v>
      </c>
    </row>
    <row r="783" spans="3:3">
      <c r="C783" s="40">
        <v>46221</v>
      </c>
    </row>
    <row r="784" spans="3:3">
      <c r="C784" s="40">
        <v>46221</v>
      </c>
    </row>
    <row r="785" spans="3:3">
      <c r="C785" s="40">
        <v>46221</v>
      </c>
    </row>
    <row r="786" spans="3:3">
      <c r="C786" s="40">
        <v>46221</v>
      </c>
    </row>
    <row r="787" spans="3:3">
      <c r="C787" s="40">
        <v>46221</v>
      </c>
    </row>
    <row r="788" spans="3:3">
      <c r="C788" s="40">
        <v>46221</v>
      </c>
    </row>
    <row r="789" spans="3:3">
      <c r="C789" s="40">
        <v>46221</v>
      </c>
    </row>
    <row r="790" spans="3:3">
      <c r="C790" s="40">
        <v>46221</v>
      </c>
    </row>
    <row r="791" spans="3:3">
      <c r="C791" s="40">
        <v>46221</v>
      </c>
    </row>
    <row r="792" spans="3:3">
      <c r="C792" s="40">
        <v>46222</v>
      </c>
    </row>
    <row r="793" spans="3:3">
      <c r="C793" s="40">
        <v>46222</v>
      </c>
    </row>
    <row r="794" spans="3:3">
      <c r="C794" s="40">
        <v>46222</v>
      </c>
    </row>
    <row r="795" spans="3:3">
      <c r="C795" s="40">
        <v>46222</v>
      </c>
    </row>
    <row r="796" spans="3:3">
      <c r="C796" s="40">
        <v>46222</v>
      </c>
    </row>
    <row r="797" spans="3:3">
      <c r="C797" s="40">
        <v>46222</v>
      </c>
    </row>
    <row r="798" spans="3:3">
      <c r="C798" s="40">
        <v>46222</v>
      </c>
    </row>
    <row r="799" spans="3:3">
      <c r="C799" s="40">
        <v>46222</v>
      </c>
    </row>
    <row r="800" spans="3:3">
      <c r="C800" s="40">
        <v>46222</v>
      </c>
    </row>
    <row r="801" spans="3:3">
      <c r="C801" s="40">
        <v>46222</v>
      </c>
    </row>
    <row r="802" spans="3:3">
      <c r="C802" s="40">
        <v>46223</v>
      </c>
    </row>
    <row r="803" spans="3:3">
      <c r="C803" s="40">
        <v>46223</v>
      </c>
    </row>
    <row r="804" spans="3:3">
      <c r="C804" s="40">
        <v>46223</v>
      </c>
    </row>
    <row r="805" spans="3:3">
      <c r="C805" s="40">
        <v>46223</v>
      </c>
    </row>
    <row r="806" spans="3:3">
      <c r="C806" s="40">
        <v>46223</v>
      </c>
    </row>
    <row r="807" spans="3:3">
      <c r="C807" s="40">
        <v>46223</v>
      </c>
    </row>
    <row r="808" spans="3:3">
      <c r="C808" s="40">
        <v>46223</v>
      </c>
    </row>
    <row r="809" spans="3:3">
      <c r="C809" s="40">
        <v>46223</v>
      </c>
    </row>
    <row r="810" spans="3:3">
      <c r="C810" s="40">
        <v>46223</v>
      </c>
    </row>
    <row r="811" spans="3:3">
      <c r="C811" s="40">
        <v>46223</v>
      </c>
    </row>
    <row r="812" spans="3:3">
      <c r="C812" s="40">
        <v>46224</v>
      </c>
    </row>
    <row r="813" spans="3:3">
      <c r="C813" s="40">
        <v>46224</v>
      </c>
    </row>
    <row r="814" spans="3:3">
      <c r="C814" s="40">
        <v>46224</v>
      </c>
    </row>
    <row r="815" spans="3:3">
      <c r="C815" s="40">
        <v>46224</v>
      </c>
    </row>
    <row r="816" spans="3:3">
      <c r="C816" s="40">
        <v>46224</v>
      </c>
    </row>
    <row r="817" spans="3:3">
      <c r="C817" s="40">
        <v>46224</v>
      </c>
    </row>
    <row r="818" spans="3:3">
      <c r="C818" s="40">
        <v>46224</v>
      </c>
    </row>
    <row r="819" spans="3:3">
      <c r="C819" s="40">
        <v>46224</v>
      </c>
    </row>
    <row r="820" spans="3:3">
      <c r="C820" s="40">
        <v>46224</v>
      </c>
    </row>
    <row r="821" spans="3:3">
      <c r="C821" s="40">
        <v>46224</v>
      </c>
    </row>
    <row r="822" spans="3:3">
      <c r="C822" s="40">
        <v>46225</v>
      </c>
    </row>
    <row r="823" spans="3:3">
      <c r="C823" s="40">
        <v>46225</v>
      </c>
    </row>
    <row r="824" spans="3:3">
      <c r="C824" s="40">
        <v>46225</v>
      </c>
    </row>
    <row r="825" spans="3:3">
      <c r="C825" s="40">
        <v>46225</v>
      </c>
    </row>
    <row r="826" spans="3:3">
      <c r="C826" s="40">
        <v>46225</v>
      </c>
    </row>
    <row r="827" spans="3:3">
      <c r="C827" s="40">
        <v>46225</v>
      </c>
    </row>
    <row r="828" spans="3:3">
      <c r="C828" s="40">
        <v>46225</v>
      </c>
    </row>
    <row r="829" spans="3:3">
      <c r="C829" s="40">
        <v>46225</v>
      </c>
    </row>
    <row r="830" spans="3:3">
      <c r="C830" s="40">
        <v>46225</v>
      </c>
    </row>
    <row r="831" spans="3:3">
      <c r="C831" s="40">
        <v>46225</v>
      </c>
    </row>
    <row r="832" spans="3:3">
      <c r="C832" s="40">
        <v>46226</v>
      </c>
    </row>
    <row r="833" spans="3:3">
      <c r="C833" s="40">
        <v>46226</v>
      </c>
    </row>
    <row r="834" spans="3:3">
      <c r="C834" s="40">
        <v>46226</v>
      </c>
    </row>
    <row r="835" spans="3:3">
      <c r="C835" s="40">
        <v>46226</v>
      </c>
    </row>
    <row r="836" spans="3:3">
      <c r="C836" s="40">
        <v>46226</v>
      </c>
    </row>
    <row r="837" spans="3:3">
      <c r="C837" s="40">
        <v>46226</v>
      </c>
    </row>
    <row r="838" spans="3:3">
      <c r="C838" s="40">
        <v>46226</v>
      </c>
    </row>
    <row r="839" spans="3:3">
      <c r="C839" s="40">
        <v>46226</v>
      </c>
    </row>
    <row r="840" spans="3:3">
      <c r="C840" s="40">
        <v>46226</v>
      </c>
    </row>
    <row r="841" spans="3:3">
      <c r="C841" s="40">
        <v>46226</v>
      </c>
    </row>
    <row r="842" spans="3:3">
      <c r="C842" s="40">
        <v>46227</v>
      </c>
    </row>
    <row r="843" spans="3:3">
      <c r="C843" s="40">
        <v>46227</v>
      </c>
    </row>
    <row r="844" spans="3:3">
      <c r="C844" s="40">
        <v>46227</v>
      </c>
    </row>
    <row r="845" spans="3:3">
      <c r="C845" s="40">
        <v>46227</v>
      </c>
    </row>
    <row r="846" spans="3:3">
      <c r="C846" s="40">
        <v>46227</v>
      </c>
    </row>
    <row r="847" spans="3:3">
      <c r="C847" s="40">
        <v>46227</v>
      </c>
    </row>
    <row r="848" spans="3:3">
      <c r="C848" s="40">
        <v>46227</v>
      </c>
    </row>
    <row r="849" spans="3:3">
      <c r="C849" s="40">
        <v>46227</v>
      </c>
    </row>
    <row r="850" spans="3:3">
      <c r="C850" s="40">
        <v>46227</v>
      </c>
    </row>
    <row r="851" spans="3:3">
      <c r="C851" s="40">
        <v>46227</v>
      </c>
    </row>
    <row r="852" spans="3:3">
      <c r="C852" s="40">
        <v>46228</v>
      </c>
    </row>
    <row r="853" spans="3:3">
      <c r="C853" s="40">
        <v>46228</v>
      </c>
    </row>
    <row r="854" spans="3:3">
      <c r="C854" s="40">
        <v>46228</v>
      </c>
    </row>
    <row r="855" spans="3:3">
      <c r="C855" s="40">
        <v>46228</v>
      </c>
    </row>
    <row r="856" spans="3:3">
      <c r="C856" s="40">
        <v>46228</v>
      </c>
    </row>
    <row r="857" spans="3:3">
      <c r="C857" s="40">
        <v>46228</v>
      </c>
    </row>
    <row r="858" spans="3:3">
      <c r="C858" s="40">
        <v>46228</v>
      </c>
    </row>
    <row r="859" spans="3:3">
      <c r="C859" s="40">
        <v>46228</v>
      </c>
    </row>
    <row r="860" spans="3:3">
      <c r="C860" s="40">
        <v>46228</v>
      </c>
    </row>
    <row r="861" spans="3:3">
      <c r="C861" s="40">
        <v>46228</v>
      </c>
    </row>
    <row r="862" spans="3:3">
      <c r="C862" s="40">
        <v>46229</v>
      </c>
    </row>
    <row r="863" spans="3:3">
      <c r="C863" s="40">
        <v>46229</v>
      </c>
    </row>
    <row r="864" spans="3:3">
      <c r="C864" s="40">
        <v>46229</v>
      </c>
    </row>
    <row r="865" spans="3:3">
      <c r="C865" s="40">
        <v>46229</v>
      </c>
    </row>
    <row r="866" spans="3:3">
      <c r="C866" s="40">
        <v>46229</v>
      </c>
    </row>
    <row r="867" spans="3:3">
      <c r="C867" s="40">
        <v>46229</v>
      </c>
    </row>
    <row r="868" spans="3:3">
      <c r="C868" s="40">
        <v>46229</v>
      </c>
    </row>
    <row r="869" spans="3:3">
      <c r="C869" s="40">
        <v>46229</v>
      </c>
    </row>
    <row r="870" spans="3:3">
      <c r="C870" s="40">
        <v>46229</v>
      </c>
    </row>
    <row r="871" spans="3:3">
      <c r="C871" s="40">
        <v>46229</v>
      </c>
    </row>
    <row r="872" spans="3:3">
      <c r="C872" s="40">
        <v>46230</v>
      </c>
    </row>
    <row r="873" spans="3:3">
      <c r="C873" s="40">
        <v>46230</v>
      </c>
    </row>
    <row r="874" spans="3:3">
      <c r="C874" s="40">
        <v>46230</v>
      </c>
    </row>
    <row r="875" spans="3:3">
      <c r="C875" s="40">
        <v>46230</v>
      </c>
    </row>
    <row r="876" spans="3:3">
      <c r="C876" s="40">
        <v>46230</v>
      </c>
    </row>
    <row r="877" spans="3:3">
      <c r="C877" s="40">
        <v>46230</v>
      </c>
    </row>
    <row r="878" spans="3:3">
      <c r="C878" s="40">
        <v>46230</v>
      </c>
    </row>
    <row r="879" spans="3:3">
      <c r="C879" s="40">
        <v>46230</v>
      </c>
    </row>
    <row r="880" spans="3:3">
      <c r="C880" s="40">
        <v>46230</v>
      </c>
    </row>
    <row r="881" spans="3:3">
      <c r="C881" s="40">
        <v>46230</v>
      </c>
    </row>
    <row r="882" spans="3:3">
      <c r="C882" s="40">
        <v>46231</v>
      </c>
    </row>
    <row r="883" spans="3:3">
      <c r="C883" s="40">
        <v>46231</v>
      </c>
    </row>
    <row r="884" spans="3:3">
      <c r="C884" s="40">
        <v>46231</v>
      </c>
    </row>
    <row r="885" spans="3:3">
      <c r="C885" s="40">
        <v>46231</v>
      </c>
    </row>
    <row r="886" spans="3:3">
      <c r="C886" s="40">
        <v>46231</v>
      </c>
    </row>
    <row r="887" spans="3:3">
      <c r="C887" s="40">
        <v>46231</v>
      </c>
    </row>
    <row r="888" spans="3:3">
      <c r="C888" s="40">
        <v>46231</v>
      </c>
    </row>
    <row r="889" spans="3:3">
      <c r="C889" s="40">
        <v>46231</v>
      </c>
    </row>
    <row r="890" spans="3:3">
      <c r="C890" s="40">
        <v>46231</v>
      </c>
    </row>
    <row r="891" spans="3:3">
      <c r="C891" s="40">
        <v>46231</v>
      </c>
    </row>
    <row r="892" spans="3:3">
      <c r="C892" s="40">
        <v>46232</v>
      </c>
    </row>
    <row r="893" spans="3:3">
      <c r="C893" s="40">
        <v>46232</v>
      </c>
    </row>
    <row r="894" spans="3:3">
      <c r="C894" s="40">
        <v>46232</v>
      </c>
    </row>
    <row r="895" spans="3:3">
      <c r="C895" s="40">
        <v>46232</v>
      </c>
    </row>
    <row r="896" spans="3:3">
      <c r="C896" s="40">
        <v>46232</v>
      </c>
    </row>
    <row r="897" spans="3:3">
      <c r="C897" s="40">
        <v>46232</v>
      </c>
    </row>
    <row r="898" spans="3:3">
      <c r="C898" s="40">
        <v>46232</v>
      </c>
    </row>
    <row r="899" spans="3:3">
      <c r="C899" s="40">
        <v>46232</v>
      </c>
    </row>
    <row r="900" spans="3:3">
      <c r="C900" s="40">
        <v>46232</v>
      </c>
    </row>
    <row r="901" spans="3:3">
      <c r="C901" s="40">
        <v>46232</v>
      </c>
    </row>
    <row r="902" spans="3:3">
      <c r="C902" s="40">
        <v>46233</v>
      </c>
    </row>
    <row r="903" spans="3:3">
      <c r="C903" s="40">
        <v>46233</v>
      </c>
    </row>
    <row r="904" spans="3:3">
      <c r="C904" s="40">
        <v>46233</v>
      </c>
    </row>
    <row r="905" spans="3:3">
      <c r="C905" s="40">
        <v>46233</v>
      </c>
    </row>
    <row r="906" spans="3:3">
      <c r="C906" s="40">
        <v>46233</v>
      </c>
    </row>
    <row r="907" spans="3:3">
      <c r="C907" s="40">
        <v>46233</v>
      </c>
    </row>
    <row r="908" spans="3:3">
      <c r="C908" s="40">
        <v>46233</v>
      </c>
    </row>
    <row r="909" spans="3:3">
      <c r="C909" s="40">
        <v>46233</v>
      </c>
    </row>
    <row r="910" spans="3:3">
      <c r="C910" s="40">
        <v>46233</v>
      </c>
    </row>
    <row r="911" spans="3:3">
      <c r="C911" s="40">
        <v>46233</v>
      </c>
    </row>
    <row r="912" spans="3:3">
      <c r="C912" s="40">
        <v>46234</v>
      </c>
    </row>
    <row r="913" spans="3:3">
      <c r="C913" s="40">
        <v>46234</v>
      </c>
    </row>
    <row r="914" spans="3:3">
      <c r="C914" s="40">
        <v>46234</v>
      </c>
    </row>
    <row r="915" spans="3:3">
      <c r="C915" s="40">
        <v>46234</v>
      </c>
    </row>
    <row r="916" spans="3:3">
      <c r="C916" s="40">
        <v>46234</v>
      </c>
    </row>
    <row r="917" spans="3:3">
      <c r="C917" s="40">
        <v>46234</v>
      </c>
    </row>
    <row r="918" spans="3:3">
      <c r="C918" s="40">
        <v>46234</v>
      </c>
    </row>
    <row r="919" spans="3:3">
      <c r="C919" s="40">
        <v>46234</v>
      </c>
    </row>
    <row r="920" spans="3:3">
      <c r="C920" s="40">
        <v>46234</v>
      </c>
    </row>
    <row r="921" spans="3:3">
      <c r="C921" s="40">
        <v>46234</v>
      </c>
    </row>
    <row r="922" spans="3:3">
      <c r="C922" s="40">
        <v>46235</v>
      </c>
    </row>
    <row r="923" spans="3:3">
      <c r="C923" s="40">
        <v>46235</v>
      </c>
    </row>
    <row r="924" spans="3:3">
      <c r="C924" s="40">
        <v>46235</v>
      </c>
    </row>
    <row r="925" spans="3:3">
      <c r="C925" s="40">
        <v>46235</v>
      </c>
    </row>
    <row r="926" spans="3:3">
      <c r="C926" s="40">
        <v>46235</v>
      </c>
    </row>
    <row r="927" spans="3:3">
      <c r="C927" s="40">
        <v>46235</v>
      </c>
    </row>
    <row r="928" spans="3:3">
      <c r="C928" s="40">
        <v>46235</v>
      </c>
    </row>
    <row r="929" spans="3:3">
      <c r="C929" s="40">
        <v>46235</v>
      </c>
    </row>
    <row r="930" spans="3:3">
      <c r="C930" s="40">
        <v>46235</v>
      </c>
    </row>
    <row r="931" spans="3:3">
      <c r="C931" s="40">
        <v>46235</v>
      </c>
    </row>
    <row r="932" spans="3:3">
      <c r="C932" s="40">
        <v>46236</v>
      </c>
    </row>
    <row r="933" spans="3:3">
      <c r="C933" s="40">
        <v>46236</v>
      </c>
    </row>
    <row r="934" spans="3:3">
      <c r="C934" s="40">
        <v>46236</v>
      </c>
    </row>
    <row r="935" spans="3:3">
      <c r="C935" s="40">
        <v>46236</v>
      </c>
    </row>
    <row r="936" spans="3:3">
      <c r="C936" s="40">
        <v>46236</v>
      </c>
    </row>
    <row r="937" spans="3:3">
      <c r="C937" s="40">
        <v>46236</v>
      </c>
    </row>
    <row r="938" spans="3:3">
      <c r="C938" s="40">
        <v>46236</v>
      </c>
    </row>
    <row r="939" spans="3:3">
      <c r="C939" s="40">
        <v>46236</v>
      </c>
    </row>
    <row r="940" spans="3:3">
      <c r="C940" s="40">
        <v>46236</v>
      </c>
    </row>
    <row r="941" spans="3:3">
      <c r="C941" s="40">
        <v>46236</v>
      </c>
    </row>
    <row r="942" spans="3:3">
      <c r="C942" s="40">
        <v>46237</v>
      </c>
    </row>
    <row r="943" spans="3:3">
      <c r="C943" s="40">
        <v>46237</v>
      </c>
    </row>
    <row r="944" spans="3:3">
      <c r="C944" s="40">
        <v>46237</v>
      </c>
    </row>
    <row r="945" spans="3:3">
      <c r="C945" s="40">
        <v>46237</v>
      </c>
    </row>
    <row r="946" spans="3:3">
      <c r="C946" s="40">
        <v>46237</v>
      </c>
    </row>
    <row r="947" spans="3:3">
      <c r="C947" s="40">
        <v>46237</v>
      </c>
    </row>
    <row r="948" spans="3:3">
      <c r="C948" s="40">
        <v>46237</v>
      </c>
    </row>
    <row r="949" spans="3:3">
      <c r="C949" s="40">
        <v>46237</v>
      </c>
    </row>
    <row r="950" spans="3:3">
      <c r="C950" s="40">
        <v>46237</v>
      </c>
    </row>
    <row r="951" spans="3:3">
      <c r="C951" s="40">
        <v>46237</v>
      </c>
    </row>
    <row r="952" spans="3:3">
      <c r="C952" s="40">
        <v>46238</v>
      </c>
    </row>
    <row r="953" spans="3:3">
      <c r="C953" s="40">
        <v>46238</v>
      </c>
    </row>
    <row r="954" spans="3:3">
      <c r="C954" s="40">
        <v>46238</v>
      </c>
    </row>
    <row r="955" spans="3:3">
      <c r="C955" s="40">
        <v>46238</v>
      </c>
    </row>
    <row r="956" spans="3:3">
      <c r="C956" s="40">
        <v>46238</v>
      </c>
    </row>
    <row r="957" spans="3:3">
      <c r="C957" s="40">
        <v>46238</v>
      </c>
    </row>
    <row r="958" spans="3:3">
      <c r="C958" s="40">
        <v>46238</v>
      </c>
    </row>
    <row r="959" spans="3:3">
      <c r="C959" s="40">
        <v>46238</v>
      </c>
    </row>
    <row r="960" spans="3:3">
      <c r="C960" s="40">
        <v>46238</v>
      </c>
    </row>
    <row r="961" spans="3:3">
      <c r="C961" s="40">
        <v>46238</v>
      </c>
    </row>
    <row r="962" spans="3:3">
      <c r="C962" s="40">
        <v>46239</v>
      </c>
    </row>
    <row r="963" spans="3:3">
      <c r="C963" s="40">
        <v>46239</v>
      </c>
    </row>
    <row r="964" spans="3:3">
      <c r="C964" s="40">
        <v>46239</v>
      </c>
    </row>
    <row r="965" spans="3:3">
      <c r="C965" s="40">
        <v>46239</v>
      </c>
    </row>
    <row r="966" spans="3:3">
      <c r="C966" s="40">
        <v>46239</v>
      </c>
    </row>
    <row r="967" spans="3:3">
      <c r="C967" s="40">
        <v>46239</v>
      </c>
    </row>
    <row r="968" spans="3:3">
      <c r="C968" s="40">
        <v>46239</v>
      </c>
    </row>
    <row r="969" spans="3:3">
      <c r="C969" s="40">
        <v>46239</v>
      </c>
    </row>
    <row r="970" spans="3:3">
      <c r="C970" s="40">
        <v>46239</v>
      </c>
    </row>
    <row r="971" spans="3:3">
      <c r="C971" s="40">
        <v>46239</v>
      </c>
    </row>
    <row r="972" spans="3:3">
      <c r="C972" s="40">
        <v>46240</v>
      </c>
    </row>
    <row r="973" spans="3:3">
      <c r="C973" s="40">
        <v>46240</v>
      </c>
    </row>
    <row r="974" spans="3:3">
      <c r="C974" s="40">
        <v>46240</v>
      </c>
    </row>
    <row r="975" spans="3:3">
      <c r="C975" s="40">
        <v>46240</v>
      </c>
    </row>
    <row r="976" spans="3:3">
      <c r="C976" s="40">
        <v>46240</v>
      </c>
    </row>
    <row r="977" spans="3:3">
      <c r="C977" s="40">
        <v>46240</v>
      </c>
    </row>
    <row r="978" spans="3:3">
      <c r="C978" s="40">
        <v>46240</v>
      </c>
    </row>
    <row r="979" spans="3:3">
      <c r="C979" s="40">
        <v>46240</v>
      </c>
    </row>
    <row r="980" spans="3:3">
      <c r="C980" s="40">
        <v>46240</v>
      </c>
    </row>
    <row r="981" spans="3:3">
      <c r="C981" s="40">
        <v>46240</v>
      </c>
    </row>
    <row r="982" spans="3:3">
      <c r="C982" s="40">
        <v>46241</v>
      </c>
    </row>
    <row r="983" spans="3:3">
      <c r="C983" s="40">
        <v>46241</v>
      </c>
    </row>
    <row r="984" spans="3:3">
      <c r="C984" s="40">
        <v>46241</v>
      </c>
    </row>
    <row r="985" spans="3:3">
      <c r="C985" s="40">
        <v>46241</v>
      </c>
    </row>
    <row r="986" spans="3:3">
      <c r="C986" s="40">
        <v>46241</v>
      </c>
    </row>
    <row r="987" spans="3:3">
      <c r="C987" s="40">
        <v>46241</v>
      </c>
    </row>
    <row r="988" spans="3:3">
      <c r="C988" s="40">
        <v>46241</v>
      </c>
    </row>
    <row r="989" spans="3:3">
      <c r="C989" s="40">
        <v>46241</v>
      </c>
    </row>
    <row r="990" spans="3:3">
      <c r="C990" s="40">
        <v>46241</v>
      </c>
    </row>
    <row r="991" spans="3:3">
      <c r="C991" s="40">
        <v>46241</v>
      </c>
    </row>
    <row r="992" spans="3:3">
      <c r="C992" s="40">
        <v>46242</v>
      </c>
    </row>
    <row r="993" spans="3:3">
      <c r="C993" s="40">
        <v>46242</v>
      </c>
    </row>
    <row r="994" spans="3:3">
      <c r="C994" s="40">
        <v>46242</v>
      </c>
    </row>
    <row r="995" spans="3:3">
      <c r="C995" s="40">
        <v>46242</v>
      </c>
    </row>
    <row r="996" spans="3:3">
      <c r="C996" s="40">
        <v>46242</v>
      </c>
    </row>
    <row r="997" spans="3:3">
      <c r="C997" s="40">
        <v>46242</v>
      </c>
    </row>
    <row r="998" spans="3:3">
      <c r="C998" s="40">
        <v>46242</v>
      </c>
    </row>
    <row r="999" spans="3:3">
      <c r="C999" s="40">
        <v>46242</v>
      </c>
    </row>
    <row r="1000" spans="3:3">
      <c r="C1000" s="40">
        <v>46242</v>
      </c>
    </row>
    <row r="1001" spans="3:3">
      <c r="C1001" s="40">
        <v>46242</v>
      </c>
    </row>
    <row r="1002" spans="3:3">
      <c r="C1002" s="40">
        <v>46243</v>
      </c>
    </row>
    <row r="1003" spans="3:3">
      <c r="C1003" s="40">
        <v>46243</v>
      </c>
    </row>
    <row r="1004" spans="3:3">
      <c r="C1004" s="40">
        <v>46243</v>
      </c>
    </row>
    <row r="1005" spans="3:3">
      <c r="C1005" s="40">
        <v>46243</v>
      </c>
    </row>
    <row r="1006" spans="3:3">
      <c r="C1006" s="40">
        <v>46243</v>
      </c>
    </row>
    <row r="1007" spans="3:3">
      <c r="C1007" s="40">
        <v>46243</v>
      </c>
    </row>
    <row r="1008" spans="3:3">
      <c r="C1008" s="40">
        <v>46243</v>
      </c>
    </row>
    <row r="1009" spans="3:3">
      <c r="C1009" s="40">
        <v>46243</v>
      </c>
    </row>
    <row r="1010" spans="3:3">
      <c r="C1010" s="40">
        <v>46243</v>
      </c>
    </row>
    <row r="1011" spans="3:3">
      <c r="C1011" s="40">
        <v>46243</v>
      </c>
    </row>
    <row r="1012" spans="3:3">
      <c r="C1012" s="40">
        <v>46244</v>
      </c>
    </row>
    <row r="1013" spans="3:3">
      <c r="C1013" s="40">
        <v>46244</v>
      </c>
    </row>
    <row r="1014" spans="3:3">
      <c r="C1014" s="40">
        <v>46244</v>
      </c>
    </row>
    <row r="1015" spans="3:3">
      <c r="C1015" s="40">
        <v>46244</v>
      </c>
    </row>
    <row r="1016" spans="3:3">
      <c r="C1016" s="40">
        <v>46244</v>
      </c>
    </row>
    <row r="1017" spans="3:3">
      <c r="C1017" s="40">
        <v>46244</v>
      </c>
    </row>
    <row r="1018" spans="3:3">
      <c r="C1018" s="40">
        <v>46244</v>
      </c>
    </row>
    <row r="1019" spans="3:3">
      <c r="C1019" s="40">
        <v>46244</v>
      </c>
    </row>
    <row r="1020" spans="3:3">
      <c r="C1020" s="40">
        <v>46244</v>
      </c>
    </row>
    <row r="1021" spans="3:3">
      <c r="C1021" s="40">
        <v>46244</v>
      </c>
    </row>
    <row r="1022" spans="3:3">
      <c r="C1022" s="40">
        <v>46245</v>
      </c>
    </row>
    <row r="1023" spans="3:3">
      <c r="C1023" s="40">
        <v>46245</v>
      </c>
    </row>
    <row r="1024" spans="3:3">
      <c r="C1024" s="40">
        <v>46245</v>
      </c>
    </row>
    <row r="1025" spans="3:3">
      <c r="C1025" s="40">
        <v>46245</v>
      </c>
    </row>
    <row r="1026" spans="3:3">
      <c r="C1026" s="40">
        <v>46245</v>
      </c>
    </row>
    <row r="1027" spans="3:3">
      <c r="C1027" s="40">
        <v>46245</v>
      </c>
    </row>
    <row r="1028" spans="3:3">
      <c r="C1028" s="40">
        <v>46245</v>
      </c>
    </row>
    <row r="1029" spans="3:3">
      <c r="C1029" s="40">
        <v>46245</v>
      </c>
    </row>
    <row r="1030" spans="3:3">
      <c r="C1030" s="40">
        <v>46245</v>
      </c>
    </row>
    <row r="1031" spans="3:3">
      <c r="C1031" s="40">
        <v>46245</v>
      </c>
    </row>
    <row r="1032" spans="3:3">
      <c r="C1032" s="40">
        <v>46246</v>
      </c>
    </row>
    <row r="1033" spans="3:3">
      <c r="C1033" s="40">
        <v>46246</v>
      </c>
    </row>
    <row r="1034" spans="3:3">
      <c r="C1034" s="40">
        <v>46246</v>
      </c>
    </row>
    <row r="1035" spans="3:3">
      <c r="C1035" s="40">
        <v>46246</v>
      </c>
    </row>
    <row r="1036" spans="3:3">
      <c r="C1036" s="40">
        <v>46246</v>
      </c>
    </row>
    <row r="1037" spans="3:3">
      <c r="C1037" s="40">
        <v>46246</v>
      </c>
    </row>
    <row r="1038" spans="3:3">
      <c r="C1038" s="40">
        <v>46246</v>
      </c>
    </row>
    <row r="1039" spans="3:3">
      <c r="C1039" s="40">
        <v>46246</v>
      </c>
    </row>
    <row r="1040" spans="3:3">
      <c r="C1040" s="40">
        <v>46246</v>
      </c>
    </row>
    <row r="1041" spans="3:3">
      <c r="C1041" s="40">
        <v>46246</v>
      </c>
    </row>
    <row r="1042" spans="3:3">
      <c r="C1042" s="40">
        <v>46247</v>
      </c>
    </row>
    <row r="1043" spans="3:3">
      <c r="C1043" s="40">
        <v>46247</v>
      </c>
    </row>
    <row r="1044" spans="3:3">
      <c r="C1044" s="40">
        <v>46247</v>
      </c>
    </row>
    <row r="1045" spans="3:3">
      <c r="C1045" s="40">
        <v>46247</v>
      </c>
    </row>
    <row r="1046" spans="3:3">
      <c r="C1046" s="40">
        <v>46247</v>
      </c>
    </row>
    <row r="1047" spans="3:3">
      <c r="C1047" s="40">
        <v>46247</v>
      </c>
    </row>
    <row r="1048" spans="3:3">
      <c r="C1048" s="40">
        <v>46247</v>
      </c>
    </row>
    <row r="1049" spans="3:3">
      <c r="C1049" s="40">
        <v>46247</v>
      </c>
    </row>
    <row r="1050" spans="3:3">
      <c r="C1050" s="40">
        <v>46247</v>
      </c>
    </row>
    <row r="1051" spans="3:3">
      <c r="C1051" s="40">
        <v>46247</v>
      </c>
    </row>
    <row r="1052" spans="3:3">
      <c r="C1052" s="40">
        <v>46248</v>
      </c>
    </row>
    <row r="1053" spans="3:3">
      <c r="C1053" s="40">
        <v>46248</v>
      </c>
    </row>
    <row r="1054" spans="3:3">
      <c r="C1054" s="40">
        <v>46248</v>
      </c>
    </row>
    <row r="1055" spans="3:3">
      <c r="C1055" s="40">
        <v>46248</v>
      </c>
    </row>
    <row r="1056" spans="3:3">
      <c r="C1056" s="40">
        <v>46248</v>
      </c>
    </row>
    <row r="1057" spans="3:3">
      <c r="C1057" s="40">
        <v>46248</v>
      </c>
    </row>
    <row r="1058" spans="3:3">
      <c r="C1058" s="40">
        <v>46248</v>
      </c>
    </row>
    <row r="1059" spans="3:3">
      <c r="C1059" s="40">
        <v>46248</v>
      </c>
    </row>
    <row r="1060" spans="3:3">
      <c r="C1060" s="40">
        <v>46248</v>
      </c>
    </row>
    <row r="1061" spans="3:3">
      <c r="C1061" s="40">
        <v>46248</v>
      </c>
    </row>
    <row r="1062" spans="3:3">
      <c r="C1062" s="40">
        <v>46249</v>
      </c>
    </row>
    <row r="1063" spans="3:3">
      <c r="C1063" s="40">
        <v>46249</v>
      </c>
    </row>
    <row r="1064" spans="3:3">
      <c r="C1064" s="40">
        <v>46249</v>
      </c>
    </row>
    <row r="1065" spans="3:3">
      <c r="C1065" s="40">
        <v>46249</v>
      </c>
    </row>
    <row r="1066" spans="3:3">
      <c r="C1066" s="40">
        <v>46249</v>
      </c>
    </row>
    <row r="1067" spans="3:3">
      <c r="C1067" s="40">
        <v>46249</v>
      </c>
    </row>
    <row r="1068" spans="3:3">
      <c r="C1068" s="40">
        <v>46249</v>
      </c>
    </row>
    <row r="1069" spans="3:3">
      <c r="C1069" s="40">
        <v>46249</v>
      </c>
    </row>
    <row r="1070" spans="3:3">
      <c r="C1070" s="40">
        <v>46249</v>
      </c>
    </row>
    <row r="1071" spans="3:3">
      <c r="C1071" s="40">
        <v>46249</v>
      </c>
    </row>
    <row r="1072" spans="3:3">
      <c r="C1072" s="40">
        <v>46250</v>
      </c>
    </row>
    <row r="1073" spans="3:3">
      <c r="C1073" s="40">
        <v>46250</v>
      </c>
    </row>
    <row r="1074" spans="3:3">
      <c r="C1074" s="40">
        <v>46250</v>
      </c>
    </row>
    <row r="1075" spans="3:3">
      <c r="C1075" s="40">
        <v>46250</v>
      </c>
    </row>
    <row r="1076" spans="3:3">
      <c r="C1076" s="40">
        <v>46250</v>
      </c>
    </row>
    <row r="1077" spans="3:3">
      <c r="C1077" s="40">
        <v>46250</v>
      </c>
    </row>
    <row r="1078" spans="3:3">
      <c r="C1078" s="40">
        <v>46250</v>
      </c>
    </row>
    <row r="1079" spans="3:3">
      <c r="C1079" s="40">
        <v>46250</v>
      </c>
    </row>
    <row r="1080" spans="3:3">
      <c r="C1080" s="40">
        <v>46250</v>
      </c>
    </row>
    <row r="1081" spans="3:3">
      <c r="C1081" s="40">
        <v>46250</v>
      </c>
    </row>
    <row r="1082" spans="3:3">
      <c r="C1082" s="40">
        <v>46251</v>
      </c>
    </row>
    <row r="1083" spans="3:3">
      <c r="C1083" s="40">
        <v>46251</v>
      </c>
    </row>
    <row r="1084" spans="3:3">
      <c r="C1084" s="40">
        <v>46251</v>
      </c>
    </row>
    <row r="1085" spans="3:3">
      <c r="C1085" s="40">
        <v>46251</v>
      </c>
    </row>
    <row r="1086" spans="3:3">
      <c r="C1086" s="40">
        <v>46251</v>
      </c>
    </row>
    <row r="1087" spans="3:3">
      <c r="C1087" s="40">
        <v>46251</v>
      </c>
    </row>
    <row r="1088" spans="3:3">
      <c r="C1088" s="40">
        <v>46251</v>
      </c>
    </row>
    <row r="1089" spans="3:3">
      <c r="C1089" s="40">
        <v>46251</v>
      </c>
    </row>
    <row r="1090" spans="3:3">
      <c r="C1090" s="40">
        <v>46251</v>
      </c>
    </row>
    <row r="1091" spans="3:3">
      <c r="C1091" s="40">
        <v>46251</v>
      </c>
    </row>
    <row r="1092" spans="3:3">
      <c r="C1092" s="40">
        <v>46252</v>
      </c>
    </row>
    <row r="1093" spans="3:3">
      <c r="C1093" s="40">
        <v>46252</v>
      </c>
    </row>
    <row r="1094" spans="3:3">
      <c r="C1094" s="40">
        <v>46252</v>
      </c>
    </row>
    <row r="1095" spans="3:3">
      <c r="C1095" s="40">
        <v>46252</v>
      </c>
    </row>
    <row r="1096" spans="3:3">
      <c r="C1096" s="40">
        <v>46252</v>
      </c>
    </row>
    <row r="1097" spans="3:3">
      <c r="C1097" s="40">
        <v>46252</v>
      </c>
    </row>
    <row r="1098" spans="3:3">
      <c r="C1098" s="40">
        <v>46252</v>
      </c>
    </row>
    <row r="1099" spans="3:3">
      <c r="C1099" s="40">
        <v>46252</v>
      </c>
    </row>
    <row r="1100" spans="3:3">
      <c r="C1100" s="40">
        <v>46252</v>
      </c>
    </row>
    <row r="1101" spans="3:3">
      <c r="C1101" s="40">
        <v>46252</v>
      </c>
    </row>
    <row r="1102" spans="3:3">
      <c r="C1102" s="40">
        <v>46253</v>
      </c>
    </row>
    <row r="1103" spans="3:3">
      <c r="C1103" s="40">
        <v>46253</v>
      </c>
    </row>
    <row r="1104" spans="3:3">
      <c r="C1104" s="40">
        <v>46253</v>
      </c>
    </row>
    <row r="1105" spans="3:3">
      <c r="C1105" s="40">
        <v>46253</v>
      </c>
    </row>
    <row r="1106" spans="3:3">
      <c r="C1106" s="40">
        <v>46253</v>
      </c>
    </row>
    <row r="1107" spans="3:3">
      <c r="C1107" s="40">
        <v>46253</v>
      </c>
    </row>
    <row r="1108" spans="3:3">
      <c r="C1108" s="40">
        <v>46253</v>
      </c>
    </row>
    <row r="1109" spans="3:3">
      <c r="C1109" s="40">
        <v>46253</v>
      </c>
    </row>
    <row r="1110" spans="3:3">
      <c r="C1110" s="40">
        <v>46253</v>
      </c>
    </row>
    <row r="1111" spans="3:3">
      <c r="C1111" s="40">
        <v>46253</v>
      </c>
    </row>
    <row r="1112" spans="3:3">
      <c r="C1112" s="40">
        <v>46254</v>
      </c>
    </row>
    <row r="1113" spans="3:3">
      <c r="C1113" s="40">
        <v>46254</v>
      </c>
    </row>
    <row r="1114" spans="3:3">
      <c r="C1114" s="40">
        <v>46254</v>
      </c>
    </row>
    <row r="1115" spans="3:3">
      <c r="C1115" s="40">
        <v>46254</v>
      </c>
    </row>
    <row r="1116" spans="3:3">
      <c r="C1116" s="40">
        <v>46254</v>
      </c>
    </row>
    <row r="1117" spans="3:3">
      <c r="C1117" s="40">
        <v>46254</v>
      </c>
    </row>
    <row r="1118" spans="3:3">
      <c r="C1118" s="40">
        <v>46254</v>
      </c>
    </row>
    <row r="1119" spans="3:3">
      <c r="C1119" s="40">
        <v>46254</v>
      </c>
    </row>
    <row r="1120" spans="3:3">
      <c r="C1120" s="40">
        <v>46254</v>
      </c>
    </row>
    <row r="1121" spans="3:3">
      <c r="C1121" s="40">
        <v>46254</v>
      </c>
    </row>
    <row r="1122" spans="3:3">
      <c r="C1122" s="40">
        <v>46255</v>
      </c>
    </row>
    <row r="1123" spans="3:3">
      <c r="C1123" s="40">
        <v>46255</v>
      </c>
    </row>
    <row r="1124" spans="3:3">
      <c r="C1124" s="40">
        <v>46255</v>
      </c>
    </row>
    <row r="1125" spans="3:3">
      <c r="C1125" s="40">
        <v>46255</v>
      </c>
    </row>
    <row r="1126" spans="3:3">
      <c r="C1126" s="40">
        <v>46255</v>
      </c>
    </row>
    <row r="1127" spans="3:3">
      <c r="C1127" s="40">
        <v>46255</v>
      </c>
    </row>
    <row r="1128" spans="3:3">
      <c r="C1128" s="40">
        <v>46255</v>
      </c>
    </row>
    <row r="1129" spans="3:3">
      <c r="C1129" s="40">
        <v>46255</v>
      </c>
    </row>
    <row r="1130" spans="3:3">
      <c r="C1130" s="40">
        <v>46255</v>
      </c>
    </row>
    <row r="1131" spans="3:3">
      <c r="C1131" s="40">
        <v>46255</v>
      </c>
    </row>
    <row r="1132" spans="3:3">
      <c r="C1132" s="40">
        <v>46256</v>
      </c>
    </row>
    <row r="1133" spans="3:3">
      <c r="C1133" s="40">
        <v>46256</v>
      </c>
    </row>
    <row r="1134" spans="3:3">
      <c r="C1134" s="40">
        <v>46256</v>
      </c>
    </row>
    <row r="1135" spans="3:3">
      <c r="C1135" s="40">
        <v>46256</v>
      </c>
    </row>
    <row r="1136" spans="3:3">
      <c r="C1136" s="40">
        <v>46256</v>
      </c>
    </row>
    <row r="1137" spans="3:3">
      <c r="C1137" s="40">
        <v>46256</v>
      </c>
    </row>
    <row r="1138" spans="3:3">
      <c r="C1138" s="40">
        <v>46256</v>
      </c>
    </row>
    <row r="1139" spans="3:3">
      <c r="C1139" s="40">
        <v>46256</v>
      </c>
    </row>
    <row r="1140" spans="3:3">
      <c r="C1140" s="40">
        <v>46256</v>
      </c>
    </row>
    <row r="1141" spans="3:3">
      <c r="C1141" s="40">
        <v>46256</v>
      </c>
    </row>
    <row r="1142" spans="3:3">
      <c r="C1142" s="40">
        <v>46257</v>
      </c>
    </row>
    <row r="1143" spans="3:3">
      <c r="C1143" s="40">
        <v>46257</v>
      </c>
    </row>
    <row r="1144" spans="3:3">
      <c r="C1144" s="40">
        <v>46257</v>
      </c>
    </row>
    <row r="1145" spans="3:3">
      <c r="C1145" s="40">
        <v>46257</v>
      </c>
    </row>
    <row r="1146" spans="3:3">
      <c r="C1146" s="40">
        <v>46257</v>
      </c>
    </row>
    <row r="1147" spans="3:3">
      <c r="C1147" s="40">
        <v>46257</v>
      </c>
    </row>
    <row r="1148" spans="3:3">
      <c r="C1148" s="40">
        <v>46257</v>
      </c>
    </row>
    <row r="1149" spans="3:3">
      <c r="C1149" s="40">
        <v>46257</v>
      </c>
    </row>
    <row r="1150" spans="3:3">
      <c r="C1150" s="40">
        <v>46257</v>
      </c>
    </row>
    <row r="1151" spans="3:3">
      <c r="C1151" s="40">
        <v>46257</v>
      </c>
    </row>
    <row r="1152" spans="3:3">
      <c r="C1152" s="40">
        <v>46258</v>
      </c>
    </row>
    <row r="1153" spans="3:3">
      <c r="C1153" s="40">
        <v>46258</v>
      </c>
    </row>
    <row r="1154" spans="3:3">
      <c r="C1154" s="40">
        <v>46258</v>
      </c>
    </row>
    <row r="1155" spans="3:3">
      <c r="C1155" s="40">
        <v>46258</v>
      </c>
    </row>
    <row r="1156" spans="3:3">
      <c r="C1156" s="40">
        <v>46258</v>
      </c>
    </row>
    <row r="1157" spans="3:3">
      <c r="C1157" s="40">
        <v>46258</v>
      </c>
    </row>
    <row r="1158" spans="3:3">
      <c r="C1158" s="40">
        <v>46258</v>
      </c>
    </row>
    <row r="1159" spans="3:3">
      <c r="C1159" s="40">
        <v>46258</v>
      </c>
    </row>
    <row r="1160" spans="3:3">
      <c r="C1160" s="40">
        <v>46258</v>
      </c>
    </row>
    <row r="1161" spans="3:3">
      <c r="C1161" s="40">
        <v>46258</v>
      </c>
    </row>
    <row r="1162" spans="3:3">
      <c r="C1162" s="40">
        <v>46259</v>
      </c>
    </row>
    <row r="1163" spans="3:3">
      <c r="C1163" s="40">
        <v>46259</v>
      </c>
    </row>
    <row r="1164" spans="3:3">
      <c r="C1164" s="40">
        <v>46259</v>
      </c>
    </row>
    <row r="1165" spans="3:3">
      <c r="C1165" s="40">
        <v>46259</v>
      </c>
    </row>
    <row r="1166" spans="3:3">
      <c r="C1166" s="40">
        <v>46259</v>
      </c>
    </row>
    <row r="1167" spans="3:3">
      <c r="C1167" s="40">
        <v>46259</v>
      </c>
    </row>
    <row r="1168" spans="3:3">
      <c r="C1168" s="40">
        <v>46259</v>
      </c>
    </row>
    <row r="1169" spans="3:3">
      <c r="C1169" s="40">
        <v>46259</v>
      </c>
    </row>
    <row r="1170" spans="3:3">
      <c r="C1170" s="40">
        <v>46259</v>
      </c>
    </row>
    <row r="1171" spans="3:3">
      <c r="C1171" s="40">
        <v>46259</v>
      </c>
    </row>
    <row r="1172" spans="3:3">
      <c r="C1172" s="40">
        <v>46260</v>
      </c>
    </row>
    <row r="1173" spans="3:3">
      <c r="C1173" s="40">
        <v>46260</v>
      </c>
    </row>
    <row r="1174" spans="3:3">
      <c r="C1174" s="40">
        <v>46260</v>
      </c>
    </row>
    <row r="1175" spans="3:3">
      <c r="C1175" s="40">
        <v>46260</v>
      </c>
    </row>
    <row r="1176" spans="3:3">
      <c r="C1176" s="40">
        <v>46260</v>
      </c>
    </row>
    <row r="1177" spans="3:3">
      <c r="C1177" s="40">
        <v>46260</v>
      </c>
    </row>
    <row r="1178" spans="3:3">
      <c r="C1178" s="40">
        <v>46260</v>
      </c>
    </row>
    <row r="1179" spans="3:3">
      <c r="C1179" s="40">
        <v>46260</v>
      </c>
    </row>
    <row r="1180" spans="3:3">
      <c r="C1180" s="40">
        <v>46260</v>
      </c>
    </row>
    <row r="1181" spans="3:3">
      <c r="C1181" s="40">
        <v>46260</v>
      </c>
    </row>
    <row r="1182" spans="3:3">
      <c r="C1182" s="40">
        <v>46261</v>
      </c>
    </row>
    <row r="1183" spans="3:3">
      <c r="C1183" s="40">
        <v>46261</v>
      </c>
    </row>
    <row r="1184" spans="3:3">
      <c r="C1184" s="40">
        <v>46261</v>
      </c>
    </row>
    <row r="1185" spans="3:3">
      <c r="C1185" s="40">
        <v>46261</v>
      </c>
    </row>
    <row r="1186" spans="3:3">
      <c r="C1186" s="40">
        <v>46261</v>
      </c>
    </row>
    <row r="1187" spans="3:3">
      <c r="C1187" s="40">
        <v>46261</v>
      </c>
    </row>
    <row r="1188" spans="3:3">
      <c r="C1188" s="40">
        <v>46261</v>
      </c>
    </row>
    <row r="1189" spans="3:3">
      <c r="C1189" s="40">
        <v>46261</v>
      </c>
    </row>
    <row r="1190" spans="3:3">
      <c r="C1190" s="40">
        <v>46261</v>
      </c>
    </row>
    <row r="1191" spans="3:3">
      <c r="C1191" s="40">
        <v>46261</v>
      </c>
    </row>
    <row r="1192" spans="3:3">
      <c r="C1192" s="40">
        <v>46262</v>
      </c>
    </row>
    <row r="1193" spans="3:3">
      <c r="C1193" s="40">
        <v>46262</v>
      </c>
    </row>
    <row r="1194" spans="3:3">
      <c r="C1194" s="40">
        <v>46262</v>
      </c>
    </row>
    <row r="1195" spans="3:3">
      <c r="C1195" s="40">
        <v>46262</v>
      </c>
    </row>
    <row r="1196" spans="3:3">
      <c r="C1196" s="40">
        <v>46262</v>
      </c>
    </row>
    <row r="1197" spans="3:3">
      <c r="C1197" s="40">
        <v>46262</v>
      </c>
    </row>
    <row r="1198" spans="3:3">
      <c r="C1198" s="40">
        <v>46262</v>
      </c>
    </row>
    <row r="1199" spans="3:3">
      <c r="C1199" s="40">
        <v>46262</v>
      </c>
    </row>
    <row r="1200" spans="3:3">
      <c r="C1200" s="40">
        <v>46262</v>
      </c>
    </row>
    <row r="1201" spans="3:3">
      <c r="C1201" s="40">
        <v>46262</v>
      </c>
    </row>
    <row r="1202" spans="3:3">
      <c r="C1202" s="40">
        <v>46263</v>
      </c>
    </row>
    <row r="1203" spans="3:3">
      <c r="C1203" s="40">
        <v>46263</v>
      </c>
    </row>
    <row r="1204" spans="3:3">
      <c r="C1204" s="40">
        <v>46263</v>
      </c>
    </row>
    <row r="1205" spans="3:3">
      <c r="C1205" s="40">
        <v>46263</v>
      </c>
    </row>
    <row r="1206" spans="3:3">
      <c r="C1206" s="40">
        <v>46263</v>
      </c>
    </row>
    <row r="1207" spans="3:3">
      <c r="C1207" s="40">
        <v>46263</v>
      </c>
    </row>
    <row r="1208" spans="3:3">
      <c r="C1208" s="40">
        <v>46263</v>
      </c>
    </row>
    <row r="1209" spans="3:3">
      <c r="C1209" s="40">
        <v>46263</v>
      </c>
    </row>
    <row r="1210" spans="3:3">
      <c r="C1210" s="40">
        <v>46263</v>
      </c>
    </row>
    <row r="1211" spans="3:3">
      <c r="C1211" s="40">
        <v>46263</v>
      </c>
    </row>
    <row r="1212" spans="3:3">
      <c r="C1212" s="40">
        <v>46264</v>
      </c>
    </row>
    <row r="1213" spans="3:3">
      <c r="C1213" s="40">
        <v>46264</v>
      </c>
    </row>
    <row r="1214" spans="3:3">
      <c r="C1214" s="40">
        <v>46264</v>
      </c>
    </row>
    <row r="1215" spans="3:3">
      <c r="C1215" s="40">
        <v>46264</v>
      </c>
    </row>
    <row r="1216" spans="3:3">
      <c r="C1216" s="40">
        <v>46264</v>
      </c>
    </row>
    <row r="1217" spans="3:3">
      <c r="C1217" s="40">
        <v>46264</v>
      </c>
    </row>
    <row r="1218" spans="3:3">
      <c r="C1218" s="40">
        <v>46264</v>
      </c>
    </row>
    <row r="1219" spans="3:3">
      <c r="C1219" s="40">
        <v>46264</v>
      </c>
    </row>
    <row r="1220" spans="3:3">
      <c r="C1220" s="40">
        <v>46264</v>
      </c>
    </row>
    <row r="1221" spans="3:3">
      <c r="C1221" s="40">
        <v>46264</v>
      </c>
    </row>
    <row r="1222" spans="3:3">
      <c r="C1222" s="40">
        <v>46265</v>
      </c>
    </row>
    <row r="1223" spans="3:3">
      <c r="C1223" s="40">
        <v>46265</v>
      </c>
    </row>
    <row r="1224" spans="3:3">
      <c r="C1224" s="40">
        <v>46265</v>
      </c>
    </row>
    <row r="1225" spans="3:3">
      <c r="C1225" s="40">
        <v>46265</v>
      </c>
    </row>
    <row r="1226" spans="3:3">
      <c r="C1226" s="40">
        <v>46265</v>
      </c>
    </row>
    <row r="1227" spans="3:3">
      <c r="C1227" s="40">
        <v>46265</v>
      </c>
    </row>
    <row r="1228" spans="3:3">
      <c r="C1228" s="40">
        <v>46265</v>
      </c>
    </row>
    <row r="1229" spans="3:3">
      <c r="C1229" s="40">
        <v>46265</v>
      </c>
    </row>
    <row r="1230" spans="3:3">
      <c r="C1230" s="40">
        <v>46265</v>
      </c>
    </row>
    <row r="1231" spans="3:3">
      <c r="C1231" s="40">
        <v>46265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6DBF-658E-40F7-A15B-44BAF9B48C8E}">
  <dimension ref="A3:J63"/>
  <sheetViews>
    <sheetView topLeftCell="A17" workbookViewId="0">
      <selection activeCell="H35" sqref="H35"/>
    </sheetView>
  </sheetViews>
  <sheetFormatPr defaultRowHeight="14.4"/>
  <cols>
    <col min="1" max="1" width="7.33203125" bestFit="1" customWidth="1"/>
    <col min="2" max="2" width="4.44140625" bestFit="1" customWidth="1"/>
    <col min="3" max="3" width="5" bestFit="1" customWidth="1"/>
    <col min="6" max="7" width="22.88671875" bestFit="1" customWidth="1"/>
    <col min="8" max="8" width="50.6640625" bestFit="1" customWidth="1"/>
    <col min="9" max="9" width="18.44140625" bestFit="1" customWidth="1"/>
  </cols>
  <sheetData>
    <row r="3" spans="1:10">
      <c r="A3">
        <v>7.5</v>
      </c>
    </row>
    <row r="5" spans="1:10">
      <c r="A5" s="41" t="s">
        <v>208</v>
      </c>
      <c r="B5" s="41" t="s">
        <v>209</v>
      </c>
      <c r="C5" s="41" t="s">
        <v>210</v>
      </c>
      <c r="F5" s="54" t="s">
        <v>30</v>
      </c>
      <c r="G5" s="54"/>
      <c r="I5" t="s">
        <v>218</v>
      </c>
    </row>
    <row r="6" spans="1:10">
      <c r="A6" s="31">
        <v>1</v>
      </c>
      <c r="B6" s="31">
        <v>35</v>
      </c>
      <c r="C6" s="31">
        <v>4.7</v>
      </c>
      <c r="F6" s="9" t="s">
        <v>202</v>
      </c>
      <c r="G6" s="9" t="s">
        <v>202</v>
      </c>
      <c r="H6" s="42" t="s">
        <v>45</v>
      </c>
      <c r="I6" t="s">
        <v>219</v>
      </c>
      <c r="J6">
        <v>1</v>
      </c>
    </row>
    <row r="7" spans="1:10">
      <c r="A7" s="31">
        <v>2</v>
      </c>
      <c r="B7" s="31">
        <v>35</v>
      </c>
      <c r="C7" s="31">
        <v>4.7</v>
      </c>
      <c r="F7" s="9" t="s">
        <v>202</v>
      </c>
      <c r="G7" s="9"/>
      <c r="H7" s="42" t="s">
        <v>46</v>
      </c>
      <c r="I7" t="s">
        <v>219</v>
      </c>
      <c r="J7">
        <v>4</v>
      </c>
    </row>
    <row r="8" spans="1:10">
      <c r="A8" s="31">
        <v>3</v>
      </c>
      <c r="B8" s="31">
        <v>35</v>
      </c>
      <c r="C8" s="31">
        <v>4.7</v>
      </c>
      <c r="F8" s="9" t="s">
        <v>202</v>
      </c>
      <c r="G8" s="9"/>
      <c r="H8" s="42" t="s">
        <v>47</v>
      </c>
      <c r="I8" t="s">
        <v>219</v>
      </c>
      <c r="J8">
        <v>4</v>
      </c>
    </row>
    <row r="9" spans="1:10">
      <c r="A9" s="31">
        <v>4</v>
      </c>
      <c r="B9" s="31">
        <v>126</v>
      </c>
      <c r="C9" s="31">
        <v>16.8</v>
      </c>
      <c r="F9" s="9" t="s">
        <v>211</v>
      </c>
      <c r="G9" s="9" t="s">
        <v>216</v>
      </c>
      <c r="H9" s="42" t="s">
        <v>41</v>
      </c>
      <c r="I9" t="s">
        <v>219</v>
      </c>
      <c r="J9">
        <v>6</v>
      </c>
    </row>
    <row r="10" spans="1:10">
      <c r="A10" s="31">
        <v>5</v>
      </c>
      <c r="B10" s="31">
        <v>49</v>
      </c>
      <c r="C10" s="31">
        <v>6.5</v>
      </c>
      <c r="F10" s="9" t="s">
        <v>212</v>
      </c>
      <c r="G10" s="9" t="s">
        <v>217</v>
      </c>
      <c r="H10" s="42" t="s">
        <v>31</v>
      </c>
      <c r="I10" t="s">
        <v>219</v>
      </c>
      <c r="J10">
        <v>4</v>
      </c>
    </row>
    <row r="11" spans="1:10">
      <c r="A11" s="31">
        <v>6</v>
      </c>
      <c r="B11" s="31">
        <v>49</v>
      </c>
      <c r="C11" s="31">
        <v>6.5</v>
      </c>
      <c r="F11" s="9" t="s">
        <v>212</v>
      </c>
      <c r="G11" s="9"/>
      <c r="H11" s="42" t="s">
        <v>39</v>
      </c>
      <c r="I11" t="s">
        <v>219</v>
      </c>
      <c r="J11">
        <v>4</v>
      </c>
    </row>
    <row r="12" spans="1:10">
      <c r="A12" s="31">
        <v>7</v>
      </c>
      <c r="B12" s="31">
        <v>98</v>
      </c>
      <c r="C12" s="31">
        <v>13.1</v>
      </c>
      <c r="F12" s="9" t="s">
        <v>213</v>
      </c>
      <c r="G12" s="9" t="s">
        <v>41</v>
      </c>
      <c r="H12" s="42" t="s">
        <v>40</v>
      </c>
      <c r="I12" t="s">
        <v>219</v>
      </c>
      <c r="J12">
        <v>6</v>
      </c>
    </row>
    <row r="13" spans="1:10">
      <c r="A13" s="31">
        <v>8</v>
      </c>
      <c r="B13" s="31">
        <v>49</v>
      </c>
      <c r="C13" s="31">
        <v>6.5</v>
      </c>
      <c r="F13" s="9" t="s">
        <v>42</v>
      </c>
      <c r="G13" s="9" t="s">
        <v>42</v>
      </c>
      <c r="H13" s="42" t="s">
        <v>42</v>
      </c>
      <c r="I13" t="s">
        <v>219</v>
      </c>
      <c r="J13">
        <v>4</v>
      </c>
    </row>
    <row r="14" spans="1:10">
      <c r="A14" s="31">
        <v>9</v>
      </c>
      <c r="B14" s="31">
        <v>126</v>
      </c>
      <c r="C14" s="31">
        <v>16.8</v>
      </c>
      <c r="F14" s="9" t="s">
        <v>214</v>
      </c>
      <c r="G14" s="9" t="s">
        <v>214</v>
      </c>
      <c r="H14" s="42" t="s">
        <v>206</v>
      </c>
      <c r="I14" t="s">
        <v>219</v>
      </c>
      <c r="J14">
        <v>4</v>
      </c>
    </row>
    <row r="15" spans="1:10">
      <c r="A15" s="31">
        <v>10</v>
      </c>
      <c r="B15" s="31">
        <v>49</v>
      </c>
      <c r="C15" s="31">
        <v>6.5</v>
      </c>
      <c r="F15" s="9" t="s">
        <v>215</v>
      </c>
      <c r="G15" s="9" t="s">
        <v>215</v>
      </c>
      <c r="H15" s="42" t="s">
        <v>207</v>
      </c>
      <c r="I15" t="s">
        <v>219</v>
      </c>
      <c r="J15">
        <v>2</v>
      </c>
    </row>
    <row r="17" spans="1:10">
      <c r="A17" s="41" t="s">
        <v>208</v>
      </c>
      <c r="B17" s="41" t="s">
        <v>209</v>
      </c>
      <c r="C17" s="41" t="s">
        <v>210</v>
      </c>
      <c r="F17" s="54" t="s">
        <v>30</v>
      </c>
      <c r="G17" s="54"/>
      <c r="I17" t="s">
        <v>218</v>
      </c>
    </row>
    <row r="18" spans="1:10">
      <c r="A18" s="31">
        <v>1</v>
      </c>
      <c r="B18" s="31">
        <v>35</v>
      </c>
      <c r="C18" s="31">
        <v>4.7</v>
      </c>
      <c r="F18" s="9" t="s">
        <v>202</v>
      </c>
      <c r="G18" s="9" t="s">
        <v>202</v>
      </c>
      <c r="H18" s="42" t="s">
        <v>45</v>
      </c>
      <c r="I18" t="s">
        <v>220</v>
      </c>
      <c r="J18">
        <f>J6*B18</f>
        <v>35</v>
      </c>
    </row>
    <row r="19" spans="1:10">
      <c r="A19" s="31">
        <v>2</v>
      </c>
      <c r="B19" s="31">
        <v>35</v>
      </c>
      <c r="C19" s="31">
        <v>4.7</v>
      </c>
      <c r="F19" s="9" t="s">
        <v>202</v>
      </c>
      <c r="G19" s="9"/>
      <c r="H19" s="42" t="s">
        <v>46</v>
      </c>
      <c r="I19" t="s">
        <v>220</v>
      </c>
      <c r="J19">
        <f t="shared" ref="J19:J27" si="0">J7*B19</f>
        <v>140</v>
      </c>
    </row>
    <row r="20" spans="1:10">
      <c r="A20" s="31">
        <v>3</v>
      </c>
      <c r="B20" s="31">
        <v>35</v>
      </c>
      <c r="C20" s="31">
        <v>4.7</v>
      </c>
      <c r="F20" s="9" t="s">
        <v>202</v>
      </c>
      <c r="G20" s="9"/>
      <c r="H20" s="42" t="s">
        <v>47</v>
      </c>
      <c r="I20" t="s">
        <v>220</v>
      </c>
      <c r="J20">
        <f t="shared" si="0"/>
        <v>140</v>
      </c>
    </row>
    <row r="21" spans="1:10">
      <c r="A21" s="31">
        <v>4</v>
      </c>
      <c r="B21" s="31">
        <v>126</v>
      </c>
      <c r="C21" s="31">
        <v>16.8</v>
      </c>
      <c r="F21" s="9" t="s">
        <v>211</v>
      </c>
      <c r="G21" s="9" t="s">
        <v>216</v>
      </c>
      <c r="H21" s="42" t="s">
        <v>41</v>
      </c>
      <c r="I21" t="s">
        <v>220</v>
      </c>
      <c r="J21">
        <f t="shared" si="0"/>
        <v>756</v>
      </c>
    </row>
    <row r="22" spans="1:10">
      <c r="A22" s="31">
        <v>5</v>
      </c>
      <c r="B22" s="31">
        <v>49</v>
      </c>
      <c r="C22" s="31">
        <v>6.5</v>
      </c>
      <c r="F22" s="9" t="s">
        <v>212</v>
      </c>
      <c r="G22" s="9" t="s">
        <v>217</v>
      </c>
      <c r="H22" s="42" t="s">
        <v>31</v>
      </c>
      <c r="I22" t="s">
        <v>220</v>
      </c>
      <c r="J22">
        <f t="shared" si="0"/>
        <v>196</v>
      </c>
    </row>
    <row r="23" spans="1:10">
      <c r="A23" s="31">
        <v>6</v>
      </c>
      <c r="B23" s="31">
        <v>49</v>
      </c>
      <c r="C23" s="31">
        <v>6.5</v>
      </c>
      <c r="F23" s="9" t="s">
        <v>212</v>
      </c>
      <c r="G23" s="9"/>
      <c r="H23" s="42" t="s">
        <v>39</v>
      </c>
      <c r="I23" t="s">
        <v>220</v>
      </c>
      <c r="J23">
        <f t="shared" si="0"/>
        <v>196</v>
      </c>
    </row>
    <row r="24" spans="1:10">
      <c r="A24" s="31">
        <v>7</v>
      </c>
      <c r="B24" s="31">
        <v>98</v>
      </c>
      <c r="C24" s="31">
        <v>13.1</v>
      </c>
      <c r="F24" s="9" t="s">
        <v>213</v>
      </c>
      <c r="G24" s="9" t="s">
        <v>41</v>
      </c>
      <c r="H24" s="42" t="s">
        <v>40</v>
      </c>
      <c r="I24" t="s">
        <v>220</v>
      </c>
      <c r="J24">
        <f t="shared" si="0"/>
        <v>588</v>
      </c>
    </row>
    <row r="25" spans="1:10">
      <c r="A25" s="31">
        <v>8</v>
      </c>
      <c r="B25" s="31">
        <v>49</v>
      </c>
      <c r="C25" s="31">
        <v>6.5</v>
      </c>
      <c r="F25" s="9" t="s">
        <v>42</v>
      </c>
      <c r="G25" s="9" t="s">
        <v>42</v>
      </c>
      <c r="H25" s="42" t="s">
        <v>42</v>
      </c>
      <c r="I25" t="s">
        <v>220</v>
      </c>
      <c r="J25">
        <f t="shared" si="0"/>
        <v>196</v>
      </c>
    </row>
    <row r="26" spans="1:10">
      <c r="A26" s="31">
        <v>9</v>
      </c>
      <c r="B26" s="31">
        <v>126</v>
      </c>
      <c r="C26" s="31">
        <v>16.8</v>
      </c>
      <c r="F26" s="9" t="s">
        <v>214</v>
      </c>
      <c r="G26" s="9" t="s">
        <v>214</v>
      </c>
      <c r="H26" s="42" t="s">
        <v>206</v>
      </c>
      <c r="I26" t="s">
        <v>220</v>
      </c>
      <c r="J26">
        <f t="shared" si="0"/>
        <v>504</v>
      </c>
    </row>
    <row r="27" spans="1:10">
      <c r="A27" s="31">
        <v>10</v>
      </c>
      <c r="B27" s="31">
        <v>49</v>
      </c>
      <c r="C27" s="31">
        <v>6.5</v>
      </c>
      <c r="F27" s="9" t="s">
        <v>215</v>
      </c>
      <c r="G27" s="9" t="s">
        <v>215</v>
      </c>
      <c r="H27" s="42" t="s">
        <v>207</v>
      </c>
      <c r="I27" t="s">
        <v>220</v>
      </c>
      <c r="J27">
        <f t="shared" si="0"/>
        <v>98</v>
      </c>
    </row>
    <row r="29" spans="1:10">
      <c r="A29" s="41" t="s">
        <v>208</v>
      </c>
      <c r="B29" s="41" t="s">
        <v>209</v>
      </c>
      <c r="C29" s="41" t="s">
        <v>210</v>
      </c>
      <c r="F29" s="54" t="s">
        <v>30</v>
      </c>
      <c r="G29" s="54"/>
      <c r="I29" t="s">
        <v>218</v>
      </c>
    </row>
    <row r="30" spans="1:10">
      <c r="A30" s="31">
        <v>1</v>
      </c>
      <c r="B30" s="31">
        <v>35</v>
      </c>
      <c r="C30" s="31">
        <v>4.7</v>
      </c>
      <c r="F30" s="9" t="s">
        <v>202</v>
      </c>
      <c r="G30" s="9" t="s">
        <v>202</v>
      </c>
      <c r="H30" s="42" t="s">
        <v>45</v>
      </c>
      <c r="I30" t="s">
        <v>221</v>
      </c>
    </row>
    <row r="31" spans="1:10">
      <c r="A31" s="31">
        <v>2</v>
      </c>
      <c r="B31" s="31">
        <v>35</v>
      </c>
      <c r="C31" s="31">
        <v>4.7</v>
      </c>
      <c r="F31" s="9" t="s">
        <v>202</v>
      </c>
      <c r="G31" s="9"/>
      <c r="H31" s="42" t="s">
        <v>46</v>
      </c>
      <c r="I31" t="s">
        <v>221</v>
      </c>
    </row>
    <row r="32" spans="1:10">
      <c r="A32" s="31">
        <v>3</v>
      </c>
      <c r="B32" s="31">
        <v>35</v>
      </c>
      <c r="C32" s="31">
        <v>4.7</v>
      </c>
      <c r="F32" s="9" t="s">
        <v>202</v>
      </c>
      <c r="G32" s="9"/>
      <c r="H32" s="42" t="s">
        <v>47</v>
      </c>
      <c r="I32" t="s">
        <v>221</v>
      </c>
    </row>
    <row r="33" spans="1:9">
      <c r="A33" s="31">
        <v>4</v>
      </c>
      <c r="B33" s="31">
        <v>126</v>
      </c>
      <c r="C33" s="31">
        <v>16.8</v>
      </c>
      <c r="F33" s="9" t="s">
        <v>211</v>
      </c>
      <c r="G33" s="9" t="s">
        <v>216</v>
      </c>
      <c r="H33" s="42" t="s">
        <v>41</v>
      </c>
      <c r="I33" t="s">
        <v>221</v>
      </c>
    </row>
    <row r="34" spans="1:9">
      <c r="A34" s="31">
        <v>5</v>
      </c>
      <c r="B34" s="31">
        <v>49</v>
      </c>
      <c r="C34" s="31">
        <v>6.5</v>
      </c>
      <c r="F34" s="9" t="s">
        <v>212</v>
      </c>
      <c r="G34" s="9" t="s">
        <v>217</v>
      </c>
      <c r="H34" s="42" t="s">
        <v>31</v>
      </c>
      <c r="I34" t="s">
        <v>221</v>
      </c>
    </row>
    <row r="35" spans="1:9">
      <c r="A35" s="31">
        <v>6</v>
      </c>
      <c r="B35" s="31">
        <v>49</v>
      </c>
      <c r="C35" s="31">
        <v>6.5</v>
      </c>
      <c r="F35" s="9" t="s">
        <v>212</v>
      </c>
      <c r="G35" s="9"/>
      <c r="H35" s="42" t="s">
        <v>39</v>
      </c>
      <c r="I35" t="s">
        <v>221</v>
      </c>
    </row>
    <row r="36" spans="1:9">
      <c r="A36" s="31">
        <v>7</v>
      </c>
      <c r="B36" s="31">
        <v>98</v>
      </c>
      <c r="C36" s="31">
        <v>13.1</v>
      </c>
      <c r="F36" s="9" t="s">
        <v>213</v>
      </c>
      <c r="G36" s="9" t="s">
        <v>41</v>
      </c>
      <c r="H36" s="42" t="s">
        <v>40</v>
      </c>
      <c r="I36" t="s">
        <v>221</v>
      </c>
    </row>
    <row r="37" spans="1:9">
      <c r="A37" s="31">
        <v>8</v>
      </c>
      <c r="B37" s="31">
        <v>49</v>
      </c>
      <c r="C37" s="31">
        <v>6.5</v>
      </c>
      <c r="F37" s="9" t="s">
        <v>42</v>
      </c>
      <c r="G37" s="9" t="s">
        <v>42</v>
      </c>
      <c r="H37" s="42" t="s">
        <v>42</v>
      </c>
      <c r="I37" t="s">
        <v>221</v>
      </c>
    </row>
    <row r="38" spans="1:9">
      <c r="A38" s="31">
        <v>9</v>
      </c>
      <c r="B38" s="31">
        <v>126</v>
      </c>
      <c r="C38" s="31">
        <v>16.8</v>
      </c>
      <c r="F38" s="9" t="s">
        <v>214</v>
      </c>
      <c r="G38" s="9" t="s">
        <v>214</v>
      </c>
      <c r="H38" s="42" t="s">
        <v>206</v>
      </c>
      <c r="I38" t="s">
        <v>221</v>
      </c>
    </row>
    <row r="39" spans="1:9">
      <c r="A39" s="31">
        <v>10</v>
      </c>
      <c r="B39" s="31">
        <v>49</v>
      </c>
      <c r="C39" s="31">
        <v>6.5</v>
      </c>
      <c r="F39" s="9" t="s">
        <v>215</v>
      </c>
      <c r="G39" s="9" t="s">
        <v>215</v>
      </c>
      <c r="H39" s="42" t="s">
        <v>207</v>
      </c>
      <c r="I39" t="s">
        <v>221</v>
      </c>
    </row>
    <row r="41" spans="1:9">
      <c r="A41" s="41" t="s">
        <v>208</v>
      </c>
      <c r="B41" s="41" t="s">
        <v>209</v>
      </c>
      <c r="C41" s="41" t="s">
        <v>210</v>
      </c>
      <c r="F41" s="54" t="s">
        <v>30</v>
      </c>
      <c r="G41" s="54"/>
      <c r="I41" t="s">
        <v>218</v>
      </c>
    </row>
    <row r="42" spans="1:9">
      <c r="A42" s="31">
        <v>1</v>
      </c>
      <c r="B42" s="31">
        <v>35</v>
      </c>
      <c r="C42" s="31">
        <v>4.7</v>
      </c>
      <c r="F42" s="9" t="s">
        <v>202</v>
      </c>
      <c r="G42" s="9" t="s">
        <v>202</v>
      </c>
      <c r="H42" s="42" t="s">
        <v>45</v>
      </c>
      <c r="I42" t="s">
        <v>182</v>
      </c>
    </row>
    <row r="43" spans="1:9">
      <c r="A43" s="31">
        <v>2</v>
      </c>
      <c r="B43" s="31">
        <v>35</v>
      </c>
      <c r="C43" s="31">
        <v>4.7</v>
      </c>
      <c r="F43" s="9" t="s">
        <v>202</v>
      </c>
      <c r="G43" s="9"/>
      <c r="H43" s="42" t="s">
        <v>46</v>
      </c>
      <c r="I43" t="s">
        <v>182</v>
      </c>
    </row>
    <row r="44" spans="1:9">
      <c r="A44" s="31">
        <v>3</v>
      </c>
      <c r="B44" s="31">
        <v>35</v>
      </c>
      <c r="C44" s="31">
        <v>4.7</v>
      </c>
      <c r="F44" s="9" t="s">
        <v>202</v>
      </c>
      <c r="G44" s="9"/>
      <c r="H44" s="42" t="s">
        <v>47</v>
      </c>
      <c r="I44" t="s">
        <v>182</v>
      </c>
    </row>
    <row r="45" spans="1:9">
      <c r="A45" s="31">
        <v>4</v>
      </c>
      <c r="B45" s="31">
        <v>126</v>
      </c>
      <c r="C45" s="31">
        <v>16.8</v>
      </c>
      <c r="F45" s="9" t="s">
        <v>211</v>
      </c>
      <c r="G45" s="9" t="s">
        <v>216</v>
      </c>
      <c r="H45" s="42" t="s">
        <v>41</v>
      </c>
      <c r="I45" t="s">
        <v>182</v>
      </c>
    </row>
    <row r="46" spans="1:9">
      <c r="A46" s="31">
        <v>5</v>
      </c>
      <c r="B46" s="31">
        <v>49</v>
      </c>
      <c r="C46" s="31">
        <v>6.5</v>
      </c>
      <c r="F46" s="9" t="s">
        <v>212</v>
      </c>
      <c r="G46" s="9" t="s">
        <v>217</v>
      </c>
      <c r="H46" s="42" t="s">
        <v>31</v>
      </c>
      <c r="I46" t="s">
        <v>182</v>
      </c>
    </row>
    <row r="47" spans="1:9">
      <c r="A47" s="31">
        <v>6</v>
      </c>
      <c r="B47" s="31">
        <v>49</v>
      </c>
      <c r="C47" s="31">
        <v>6.5</v>
      </c>
      <c r="F47" s="9" t="s">
        <v>212</v>
      </c>
      <c r="G47" s="9"/>
      <c r="H47" s="42" t="s">
        <v>39</v>
      </c>
      <c r="I47" t="s">
        <v>182</v>
      </c>
    </row>
    <row r="48" spans="1:9">
      <c r="A48" s="31">
        <v>7</v>
      </c>
      <c r="B48" s="31">
        <v>98</v>
      </c>
      <c r="C48" s="31">
        <v>13.1</v>
      </c>
      <c r="F48" s="9" t="s">
        <v>213</v>
      </c>
      <c r="G48" s="9" t="s">
        <v>41</v>
      </c>
      <c r="H48" s="42" t="s">
        <v>40</v>
      </c>
      <c r="I48" t="s">
        <v>182</v>
      </c>
    </row>
    <row r="49" spans="1:9">
      <c r="A49" s="31">
        <v>8</v>
      </c>
      <c r="B49" s="31">
        <v>49</v>
      </c>
      <c r="C49" s="31">
        <v>6.5</v>
      </c>
      <c r="F49" s="9" t="s">
        <v>42</v>
      </c>
      <c r="G49" s="9" t="s">
        <v>42</v>
      </c>
      <c r="H49" s="42" t="s">
        <v>42</v>
      </c>
      <c r="I49" t="s">
        <v>182</v>
      </c>
    </row>
    <row r="50" spans="1:9">
      <c r="A50" s="31">
        <v>9</v>
      </c>
      <c r="B50" s="31">
        <v>126</v>
      </c>
      <c r="C50" s="31">
        <v>16.8</v>
      </c>
      <c r="F50" s="9" t="s">
        <v>214</v>
      </c>
      <c r="G50" s="9" t="s">
        <v>214</v>
      </c>
      <c r="H50" s="42" t="s">
        <v>206</v>
      </c>
      <c r="I50" t="s">
        <v>182</v>
      </c>
    </row>
    <row r="51" spans="1:9">
      <c r="A51" s="31">
        <v>10</v>
      </c>
      <c r="B51" s="31">
        <v>49</v>
      </c>
      <c r="C51" s="31">
        <v>6.5</v>
      </c>
      <c r="F51" s="9" t="s">
        <v>215</v>
      </c>
      <c r="G51" s="9" t="s">
        <v>215</v>
      </c>
      <c r="H51" s="42" t="s">
        <v>207</v>
      </c>
      <c r="I51" t="s">
        <v>182</v>
      </c>
    </row>
    <row r="53" spans="1:9">
      <c r="A53" s="41" t="s">
        <v>208</v>
      </c>
      <c r="B53" s="41" t="s">
        <v>209</v>
      </c>
      <c r="C53" s="41" t="s">
        <v>210</v>
      </c>
      <c r="F53" s="54" t="s">
        <v>30</v>
      </c>
      <c r="G53" s="54"/>
      <c r="I53" t="s">
        <v>218</v>
      </c>
    </row>
    <row r="54" spans="1:9">
      <c r="A54" s="31">
        <v>1</v>
      </c>
      <c r="B54" s="31">
        <v>35</v>
      </c>
      <c r="C54" s="31">
        <v>4.7</v>
      </c>
      <c r="F54" s="9" t="s">
        <v>202</v>
      </c>
      <c r="G54" s="9" t="s">
        <v>202</v>
      </c>
      <c r="H54" s="42" t="s">
        <v>45</v>
      </c>
      <c r="I54" t="s">
        <v>222</v>
      </c>
    </row>
    <row r="55" spans="1:9">
      <c r="A55" s="31">
        <v>2</v>
      </c>
      <c r="B55" s="31">
        <v>35</v>
      </c>
      <c r="C55" s="31">
        <v>4.7</v>
      </c>
      <c r="F55" s="9" t="s">
        <v>202</v>
      </c>
      <c r="G55" s="9"/>
      <c r="H55" s="42" t="s">
        <v>46</v>
      </c>
      <c r="I55" t="s">
        <v>222</v>
      </c>
    </row>
    <row r="56" spans="1:9">
      <c r="A56" s="31">
        <v>3</v>
      </c>
      <c r="B56" s="31">
        <v>35</v>
      </c>
      <c r="C56" s="31">
        <v>4.7</v>
      </c>
      <c r="F56" s="9" t="s">
        <v>202</v>
      </c>
      <c r="G56" s="9"/>
      <c r="H56" s="42" t="s">
        <v>47</v>
      </c>
      <c r="I56" t="s">
        <v>222</v>
      </c>
    </row>
    <row r="57" spans="1:9">
      <c r="A57" s="31">
        <v>4</v>
      </c>
      <c r="B57" s="31">
        <v>126</v>
      </c>
      <c r="C57" s="31">
        <v>16.8</v>
      </c>
      <c r="F57" s="9" t="s">
        <v>211</v>
      </c>
      <c r="G57" s="9" t="s">
        <v>216</v>
      </c>
      <c r="H57" s="42" t="s">
        <v>41</v>
      </c>
      <c r="I57" t="s">
        <v>222</v>
      </c>
    </row>
    <row r="58" spans="1:9">
      <c r="A58" s="31">
        <v>5</v>
      </c>
      <c r="B58" s="31">
        <v>49</v>
      </c>
      <c r="C58" s="31">
        <v>6.5</v>
      </c>
      <c r="F58" s="9" t="s">
        <v>212</v>
      </c>
      <c r="G58" s="9" t="s">
        <v>217</v>
      </c>
      <c r="H58" s="42" t="s">
        <v>31</v>
      </c>
      <c r="I58" t="s">
        <v>222</v>
      </c>
    </row>
    <row r="59" spans="1:9">
      <c r="A59" s="31">
        <v>6</v>
      </c>
      <c r="B59" s="31">
        <v>49</v>
      </c>
      <c r="C59" s="31">
        <v>6.5</v>
      </c>
      <c r="F59" s="9" t="s">
        <v>212</v>
      </c>
      <c r="G59" s="9"/>
      <c r="H59" s="42" t="s">
        <v>39</v>
      </c>
      <c r="I59" t="s">
        <v>222</v>
      </c>
    </row>
    <row r="60" spans="1:9">
      <c r="A60" s="31">
        <v>7</v>
      </c>
      <c r="B60" s="31">
        <v>98</v>
      </c>
      <c r="C60" s="31">
        <v>13.1</v>
      </c>
      <c r="F60" s="9" t="s">
        <v>213</v>
      </c>
      <c r="G60" s="9" t="s">
        <v>41</v>
      </c>
      <c r="H60" s="42" t="s">
        <v>40</v>
      </c>
      <c r="I60" t="s">
        <v>222</v>
      </c>
    </row>
    <row r="61" spans="1:9">
      <c r="A61" s="31">
        <v>8</v>
      </c>
      <c r="B61" s="31">
        <v>49</v>
      </c>
      <c r="C61" s="31">
        <v>6.5</v>
      </c>
      <c r="F61" s="9" t="s">
        <v>42</v>
      </c>
      <c r="G61" s="9" t="s">
        <v>42</v>
      </c>
      <c r="H61" s="42" t="s">
        <v>42</v>
      </c>
      <c r="I61" t="s">
        <v>222</v>
      </c>
    </row>
    <row r="62" spans="1:9">
      <c r="A62" s="31">
        <v>9</v>
      </c>
      <c r="B62" s="31">
        <v>126</v>
      </c>
      <c r="C62" s="31">
        <v>16.8</v>
      </c>
      <c r="F62" s="9" t="s">
        <v>214</v>
      </c>
      <c r="G62" s="9" t="s">
        <v>214</v>
      </c>
      <c r="H62" s="42" t="s">
        <v>206</v>
      </c>
      <c r="I62" t="s">
        <v>222</v>
      </c>
    </row>
    <row r="63" spans="1:9">
      <c r="A63" s="31">
        <v>10</v>
      </c>
      <c r="B63" s="31">
        <v>49</v>
      </c>
      <c r="C63" s="31">
        <v>6.5</v>
      </c>
      <c r="F63" s="9" t="s">
        <v>215</v>
      </c>
      <c r="G63" s="9" t="s">
        <v>215</v>
      </c>
      <c r="H63" s="42" t="s">
        <v>207</v>
      </c>
      <c r="I63" t="s">
        <v>222</v>
      </c>
    </row>
  </sheetData>
  <mergeCells count="5">
    <mergeCell ref="F5:G5"/>
    <mergeCell ref="F17:G17"/>
    <mergeCell ref="F29:G29"/>
    <mergeCell ref="F41:G41"/>
    <mergeCell ref="F53:G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POC-proposal</vt:lpstr>
      <vt:lpstr>Data Collection</vt:lpstr>
      <vt:lpstr>POC-work-discussion</vt:lpstr>
      <vt:lpstr>overview LOB</vt:lpstr>
      <vt:lpstr>calculate volume</vt:lpstr>
      <vt:lpstr>Sheet3</vt:lpstr>
      <vt:lpstr>interval receipts</vt:lpstr>
      <vt:lpstr>Sheet4</vt:lpstr>
      <vt:lpstr>overall intake SLA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V</dc:creator>
  <cp:lastModifiedBy>V V</cp:lastModifiedBy>
  <dcterms:created xsi:type="dcterms:W3CDTF">2015-06-05T18:17:20Z</dcterms:created>
  <dcterms:modified xsi:type="dcterms:W3CDTF">2026-09-23T19:26:47Z</dcterms:modified>
</cp:coreProperties>
</file>